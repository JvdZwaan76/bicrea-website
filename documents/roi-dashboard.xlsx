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ldings" sheetId="2" state="visible" r:id="rId4"/>
    <sheet name="Distributions" sheetId="3" state="visible" r:id="rId5"/>
    <sheet name="Quarterly" sheetId="4" state="visible" r:id="rId6"/>
    <sheet name="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<sst xmlns="http://schemas.openxmlformats.org/spreadsheetml/2006/main" count="133" uniqueCount="102">
  <si>
    <t xml:space="preserve">BICREA — Portfolio ROI Dashboard</t>
  </si>
  <si>
    <t xml:space="preserve">Reporting period: trailing 12 months • Reporting currency: USD • Demo data</t>
  </si>
  <si>
    <t xml:space="preserve">Invested capital</t>
  </si>
  <si>
    <t xml:space="preserve">Estimated value</t>
  </si>
  <si>
    <t xml:space="preserve">Annual NOI</t>
  </si>
  <si>
    <t xml:space="preserve">Distributions YTD</t>
  </si>
  <si>
    <t xml:space="preserve">Holdings Summary</t>
  </si>
  <si>
    <t xml:space="preserve">Asset</t>
  </si>
  <si>
    <t xml:space="preserve">City</t>
  </si>
  <si>
    <t xml:space="preserve">Type</t>
  </si>
  <si>
    <t xml:space="preserve">Invested</t>
  </si>
  <si>
    <t xml:space="preserve">Est. Value</t>
  </si>
  <si>
    <t xml:space="preserve">Cap Rate</t>
  </si>
  <si>
    <t xml:space="preserve">Cash Yield</t>
  </si>
  <si>
    <t xml:space="preserve">Portfolio Total</t>
  </si>
  <si>
    <t xml:space="preserve">Demo data — figures are illustrative only.</t>
  </si>
  <si>
    <t xml:space="preserve">Holdings — Source Data</t>
  </si>
  <si>
    <t xml:space="preserve">Invested ($)</t>
  </si>
  <si>
    <t xml:space="preserve">Est. Value ($)</t>
  </si>
  <si>
    <t xml:space="preserve">Annual NOI ($)</t>
  </si>
  <si>
    <t xml:space="preserve">Acquired</t>
  </si>
  <si>
    <t xml:space="preserve">Bayshore Office Plaza</t>
  </si>
  <si>
    <t xml:space="preserve">Tampa</t>
  </si>
  <si>
    <t xml:space="preserve">Office</t>
  </si>
  <si>
    <t xml:space="preserve">2022-08-15</t>
  </si>
  <si>
    <t xml:space="preserve">Gulf Coast Logistics Park</t>
  </si>
  <si>
    <t xml:space="preserve">Clearwater</t>
  </si>
  <si>
    <t xml:space="preserve">Industrial</t>
  </si>
  <si>
    <t xml:space="preserve">2021-05-30</t>
  </si>
  <si>
    <t xml:space="preserve">Sarasota Marina Retail</t>
  </si>
  <si>
    <t xml:space="preserve">Sarasota</t>
  </si>
  <si>
    <t xml:space="preserve">Retail</t>
  </si>
  <si>
    <t xml:space="preserve">2026-04-22</t>
  </si>
  <si>
    <t xml:space="preserve">St. Pete Multifamily II</t>
  </si>
  <si>
    <t xml:space="preserve">St. Pete</t>
  </si>
  <si>
    <t xml:space="preserve">Multifamily</t>
  </si>
  <si>
    <t xml:space="preserve">2023-11-08</t>
  </si>
  <si>
    <t xml:space="preserve">Pinellas Self-Storage III</t>
  </si>
  <si>
    <t xml:space="preserve">Largo</t>
  </si>
  <si>
    <t xml:space="preserve">Storage</t>
  </si>
  <si>
    <t xml:space="preserve">2026-03-12</t>
  </si>
  <si>
    <t xml:space="preserve">Tampa Riverwalk Mixed-Use</t>
  </si>
  <si>
    <t xml:space="preserve">Mixed-use</t>
  </si>
  <si>
    <t xml:space="preserve">2024-09-19</t>
  </si>
  <si>
    <t xml:space="preserve">Bradenton Medical Office</t>
  </si>
  <si>
    <t xml:space="preserve">Bradenton</t>
  </si>
  <si>
    <t xml:space="preserve">2025-02-04</t>
  </si>
  <si>
    <t xml:space="preserve">Total</t>
  </si>
  <si>
    <t xml:space="preserve">Distributions Log (YTD 2026)</t>
  </si>
  <si>
    <t xml:space="preserve">Date</t>
  </si>
  <si>
    <t xml:space="preserve">Notes</t>
  </si>
  <si>
    <t xml:space="preserve">Amount ($)</t>
  </si>
  <si>
    <t xml:space="preserve">2026-01-30</t>
  </si>
  <si>
    <t xml:space="preserve">Operating</t>
  </si>
  <si>
    <t xml:space="preserve">Q4 2025 distribution</t>
  </si>
  <si>
    <t xml:space="preserve">2026-02-15</t>
  </si>
  <si>
    <t xml:space="preserve">Monthly cash flow</t>
  </si>
  <si>
    <t xml:space="preserve">2026-03-15</t>
  </si>
  <si>
    <t xml:space="preserve">2026-04-15</t>
  </si>
  <si>
    <t xml:space="preserve">2026-05-05</t>
  </si>
  <si>
    <t xml:space="preserve">Q1 2026 distribution</t>
  </si>
  <si>
    <t xml:space="preserve">Q1 reconciliation true-up</t>
  </si>
  <si>
    <t xml:space="preserve">2026-06-12</t>
  </si>
  <si>
    <t xml:space="preserve">Refinance</t>
  </si>
  <si>
    <t xml:space="preserve">Net refinance proceeds</t>
  </si>
  <si>
    <t xml:space="preserve">2026-06-30</t>
  </si>
  <si>
    <t xml:space="preserve">Pref. return</t>
  </si>
  <si>
    <t xml:space="preserve">Initial preferred return</t>
  </si>
  <si>
    <t xml:space="preserve">Q2 2026 distribution</t>
  </si>
  <si>
    <t xml:space="preserve">Total YTD</t>
  </si>
  <si>
    <t xml:space="preserve">Quarterly Performance</t>
  </si>
  <si>
    <t xml:space="preserve">Quarter</t>
  </si>
  <si>
    <t xml:space="preserve">Portfolio Value</t>
  </si>
  <si>
    <t xml:space="preserve">NOI</t>
  </si>
  <si>
    <t xml:space="preserve">Distributions</t>
  </si>
  <si>
    <t xml:space="preserve">Trailing Cash Yield</t>
  </si>
  <si>
    <t xml:space="preserve">Q3 2025</t>
  </si>
  <si>
    <t xml:space="preserve">Q4 2025</t>
  </si>
  <si>
    <t xml:space="preserve">Q1 2026</t>
  </si>
  <si>
    <t xml:space="preserve">Q2 2026</t>
  </si>
  <si>
    <t xml:space="preserve">Modeling Assumptions</t>
  </si>
  <si>
    <t xml:space="preserve">Hold period</t>
  </si>
  <si>
    <t xml:space="preserve">7 years</t>
  </si>
  <si>
    <t xml:space="preserve">Standard BICREA underwriting horizon</t>
  </si>
  <si>
    <t xml:space="preserve">Target IRR (levered)</t>
  </si>
  <si>
    <t xml:space="preserve">14.0%</t>
  </si>
  <si>
    <t xml:space="preserve">Risk-adjusted target across portfolio</t>
  </si>
  <si>
    <t xml:space="preserve">Target equity multiple</t>
  </si>
  <si>
    <t xml:space="preserve">1.85x</t>
  </si>
  <si>
    <t xml:space="preserve">Across full hold period</t>
  </si>
  <si>
    <t xml:space="preserve">Annual rent growth</t>
  </si>
  <si>
    <t xml:space="preserve">3.0%</t>
  </si>
  <si>
    <t xml:space="preserve">Demo assumption — Florida Gulf Coast</t>
  </si>
  <si>
    <t xml:space="preserve">Exit cap rate spread</t>
  </si>
  <si>
    <t xml:space="preserve">+50 bps</t>
  </si>
  <si>
    <t xml:space="preserve">Versus current market</t>
  </si>
  <si>
    <t xml:space="preserve">Vacancy / collection loss</t>
  </si>
  <si>
    <t xml:space="preserve">5.0%</t>
  </si>
  <si>
    <t xml:space="preserve">Stabilized assumption</t>
  </si>
  <si>
    <t xml:space="preserve">Reporting currency</t>
  </si>
  <si>
    <t xml:space="preserve">USD</t>
  </si>
  <si>
    <t xml:space="preserve">Color key: blue = input, black = formula, green = link to other sheet.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</si>
</sst>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_);_(\$* \(#,##0\);_(\$* \-_);_(@_)"/>
    <numFmt numFmtId="166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color rgb="FF0B2545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4F1E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878787"/>
      <rgbColor rgb="FF93A9CE"/>
      <rgbColor rgb="FFBE4B48"/>
      <rgbColor rgb="FFF9F9F9"/>
      <rgbColor rgb="FFF4F1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6B7280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Invested vs. Estimated Value by Asset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Holdings!E3</c:f>
              <c:strCache>
                <c:ptCount val="1"/>
                <c:pt idx="0">
                  <c:v>Invested ($)</c:v>
                </c:pt>
              </c:strCache>
            </c:strRef>
          </c:tx>
          <c:spPr>
            <a:solidFill>
              <a:srgbClr val="4672A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Holdings!$B$4:$B$10</c:f>
              <c:strCache>
                <c:ptCount val="7"/>
                <c:pt idx="0">
                  <c:v>Bayshore Office Plaza</c:v>
                </c:pt>
                <c:pt idx="1">
                  <c:v>Gulf Coast Logistics Park</c:v>
                </c:pt>
                <c:pt idx="2">
                  <c:v>Sarasota Marina Retail</c:v>
                </c:pt>
                <c:pt idx="3">
                  <c:v>St. Pete Multifamily II</c:v>
                </c:pt>
                <c:pt idx="4">
                  <c:v>Pinellas Self-Storage III</c:v>
                </c:pt>
                <c:pt idx="5">
                  <c:v>Tampa Riverwalk Mixed-Use</c:v>
                </c:pt>
                <c:pt idx="6">
                  <c:v>Bradenton Medical Office</c:v>
                </c:pt>
              </c:strCache>
            </c:strRef>
          </c:cat>
          <c:val>
            <c:numRef>
              <c:f>Holdings!$E$4:$E$10</c:f>
              <c:numCache>
                <c:formatCode>_(\$* #,##0_);_(\$* \(#,##0\);_(\$* \-_);_(@_)</c:formatCode>
                <c:ptCount val="7"/>
                <c:pt idx="0">
                  <c:v>3250000</c:v>
                </c:pt>
                <c:pt idx="1">
                  <c:v>2800000</c:v>
                </c:pt>
                <c:pt idx="2">
                  <c:v>1950000</c:v>
                </c:pt>
                <c:pt idx="3">
                  <c:v>2400000</c:v>
                </c:pt>
                <c:pt idx="4">
                  <c:v>1150000</c:v>
                </c:pt>
                <c:pt idx="5">
                  <c:v>1600000</c:v>
                </c:pt>
                <c:pt idx="6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Holdings!F3</c:f>
              <c:strCache>
                <c:ptCount val="1"/>
                <c:pt idx="0">
                  <c:v>Est. Value ($)</c:v>
                </c:pt>
              </c:strCache>
            </c:strRef>
          </c:tx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Holdings!$B$4:$B$10</c:f>
              <c:strCache>
                <c:ptCount val="7"/>
                <c:pt idx="0">
                  <c:v>Bayshore Office Plaza</c:v>
                </c:pt>
                <c:pt idx="1">
                  <c:v>Gulf Coast Logistics Park</c:v>
                </c:pt>
                <c:pt idx="2">
                  <c:v>Sarasota Marina Retail</c:v>
                </c:pt>
                <c:pt idx="3">
                  <c:v>St. Pete Multifamily II</c:v>
                </c:pt>
                <c:pt idx="4">
                  <c:v>Pinellas Self-Storage III</c:v>
                </c:pt>
                <c:pt idx="5">
                  <c:v>Tampa Riverwalk Mixed-Use</c:v>
                </c:pt>
                <c:pt idx="6">
                  <c:v>Bradenton Medical Office</c:v>
                </c:pt>
              </c:strCache>
            </c:strRef>
          </c:cat>
          <c:val>
            <c:numRef>
              <c:f>Holdings!$F$4:$F$10</c:f>
              <c:numCache>
                <c:formatCode>_(\$* #,##0_);_(\$* \(#,##0\);_(\$* \-_);_(@_)</c:formatCode>
                <c:ptCount val="7"/>
                <c:pt idx="0">
                  <c:v>5150000</c:v>
                </c:pt>
                <c:pt idx="1">
                  <c:v>4820000</c:v>
                </c:pt>
                <c:pt idx="2">
                  <c:v>3180000</c:v>
                </c:pt>
                <c:pt idx="3">
                  <c:v>3950000</c:v>
                </c:pt>
                <c:pt idx="4">
                  <c:v>1575000</c:v>
                </c:pt>
                <c:pt idx="5">
                  <c:v>2400000</c:v>
                </c:pt>
                <c:pt idx="6">
                  <c:v>1620000</c:v>
                </c:pt>
              </c:numCache>
            </c:numRef>
          </c:val>
        </c:ser>
        <c:gapWidth val="150"/>
        <c:overlap val="0"/>
        <c:axId val="4966126"/>
        <c:axId val="35574323"/>
      </c:barChart>
      <c:catAx>
        <c:axId val="496612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Asset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574323"/>
        <c:crosses val="autoZero"/>
        <c:auto val="1"/>
        <c:lblAlgn val="ctr"/>
        <c:lblOffset val="100"/>
        <c:noMultiLvlLbl val="0"/>
      </c:catAx>
      <c:valAx>
        <c:axId val="35574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661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Value (Trailing Quarters)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Quarterly!C3</c:f>
              <c:strCache>
                <c:ptCount val="1"/>
                <c:pt idx="0">
                  <c:v>Portfolio Value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Quarterly!$B$4:$B$7</c:f>
              <c:strCache>
                <c:ptCount val="4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Quarterly!$C$4:$C$7</c:f>
              <c:numCache>
                <c:formatCode>_(\$* #,##0_);_(\$* \(#,##0\);_(\$* \-_);_(@_)</c:formatCode>
                <c:ptCount val="4"/>
                <c:pt idx="0">
                  <c:v>14820000</c:v>
                </c:pt>
                <c:pt idx="1">
                  <c:v>15240000</c:v>
                </c:pt>
                <c:pt idx="2">
                  <c:v>15820000</c:v>
                </c:pt>
                <c:pt idx="3">
                  <c:v>16475000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104436"/>
        <c:axId val="80021032"/>
      </c:lineChart>
      <c:catAx>
        <c:axId val="641044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021032"/>
        <c:crosses val="autoZero"/>
        <c:auto val="1"/>
        <c:lblAlgn val="ctr"/>
        <c:lblOffset val="100"/>
        <c:noMultiLvlLbl val="0"/>
      </c:catAx>
      <c:valAx>
        <c:axId val="80021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044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19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9210600" y="514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16</xdr:col>
      <xdr:colOff>256320</xdr:colOff>
      <xdr:row>17</xdr:row>
      <xdr:rowOff>22320</xdr:rowOff>
    </xdr:to>
    <xdr:graphicFrame>
      <xdr:nvGraphicFramePr>
        <xdr:cNvPr id="2" name="Chart 1"/>
        <xdr:cNvGraphicFramePr/>
      </xdr:nvGraphicFramePr>
      <xdr:xfrm>
        <a:off x="6391440" y="514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8" min="8" style="0" width="11"/>
    <col collapsed="false" customWidth="true" hidden="false" outlineLevel="0" max="9" min="9" style="0" width="12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8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25.5" hidden="false" customHeight="true" outlineLevel="0" collapsed="false">
      <c r="B6" s="4" t="n">
        <f aca="false">SUM(Holdings!E4:E10)</f>
        <v>14250000</v>
      </c>
      <c r="C6" s="4"/>
      <c r="D6" s="4" t="n">
        <f aca="false">SUM(Holdings!F4:F10)</f>
        <v>22695000</v>
      </c>
      <c r="E6" s="4"/>
      <c r="F6" s="4" t="n">
        <f aca="false">SUM(Holdings!G4:G10)</f>
        <v>1709900</v>
      </c>
      <c r="G6" s="4"/>
      <c r="H6" s="4" t="n">
        <f aca="false">SUM(Distributions!F4:F20)</f>
        <v>1312600</v>
      </c>
      <c r="I6" s="4"/>
    </row>
    <row r="9" customFormat="false" ht="21.75" hidden="false" customHeight="true" outlineLevel="0" collapsed="false">
      <c r="B9" s="5" t="s">
        <v>6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B10" s="6" t="s">
        <v>7</v>
      </c>
      <c r="C10" s="6" t="s">
        <v>8</v>
      </c>
      <c r="D10" s="6" t="s">
        <v>9</v>
      </c>
      <c r="E10" s="6" t="s">
        <v>10</v>
      </c>
      <c r="F10" s="6" t="s">
        <v>11</v>
      </c>
      <c r="G10" s="6" t="s">
        <v>4</v>
      </c>
      <c r="H10" s="6" t="s">
        <v>12</v>
      </c>
      <c r="I10" s="6" t="s">
        <v>13</v>
      </c>
    </row>
    <row r="11" customFormat="false" ht="15" hidden="false" customHeight="false" outlineLevel="0" collapsed="false">
      <c r="B11" s="7" t="str">
        <f aca="false">Holdings!B4</f>
        <v>Bayshore Office Plaza</v>
      </c>
      <c r="C11" s="7" t="str">
        <f aca="false">Holdings!C4</f>
        <v>Tampa</v>
      </c>
      <c r="D11" s="7" t="str">
        <f aca="false">Holdings!D4</f>
        <v>Office</v>
      </c>
      <c r="E11" s="8" t="n">
        <f aca="false">Holdings!E4</f>
        <v>3250000</v>
      </c>
      <c r="F11" s="8" t="n">
        <f aca="false">Holdings!F4</f>
        <v>5150000</v>
      </c>
      <c r="G11" s="8" t="n">
        <f aca="false">Holdings!G4</f>
        <v>412000</v>
      </c>
      <c r="H11" s="9" t="n">
        <f aca="false">IFERROR(Holdings!G4/Holdings!F4,0)</f>
        <v>0.08</v>
      </c>
      <c r="I11" s="9" t="n">
        <f aca="false">IFERROR(Holdings!G4/Holdings!E4,0)</f>
        <v>0.126769230769231</v>
      </c>
    </row>
    <row r="12" customFormat="false" ht="15" hidden="false" customHeight="false" outlineLevel="0" collapsed="false">
      <c r="B12" s="7" t="str">
        <f aca="false">Holdings!B5</f>
        <v>Gulf Coast Logistics Park</v>
      </c>
      <c r="C12" s="7" t="str">
        <f aca="false">Holdings!C5</f>
        <v>Clearwater</v>
      </c>
      <c r="D12" s="7" t="str">
        <f aca="false">Holdings!D5</f>
        <v>Industrial</v>
      </c>
      <c r="E12" s="8" t="n">
        <f aca="false">Holdings!E5</f>
        <v>2800000</v>
      </c>
      <c r="F12" s="8" t="n">
        <f aca="false">Holdings!F5</f>
        <v>4820000</v>
      </c>
      <c r="G12" s="8" t="n">
        <f aca="false">Holdings!G5</f>
        <v>365000</v>
      </c>
      <c r="H12" s="9" t="n">
        <f aca="false">IFERROR(Holdings!G5/Holdings!F5,0)</f>
        <v>0.0757261410788382</v>
      </c>
      <c r="I12" s="9" t="n">
        <f aca="false">IFERROR(Holdings!G5/Holdings!E5,0)</f>
        <v>0.130357142857143</v>
      </c>
    </row>
    <row r="13" customFormat="false" ht="15" hidden="false" customHeight="false" outlineLevel="0" collapsed="false">
      <c r="B13" s="7" t="str">
        <f aca="false">Holdings!B6</f>
        <v>Sarasota Marina Retail</v>
      </c>
      <c r="C13" s="7" t="str">
        <f aca="false">Holdings!C6</f>
        <v>Sarasota</v>
      </c>
      <c r="D13" s="7" t="str">
        <f aca="false">Holdings!D6</f>
        <v>Retail</v>
      </c>
      <c r="E13" s="8" t="n">
        <f aca="false">Holdings!E6</f>
        <v>1950000</v>
      </c>
      <c r="F13" s="8" t="n">
        <f aca="false">Holdings!F6</f>
        <v>3180000</v>
      </c>
      <c r="G13" s="8" t="n">
        <f aca="false">Holdings!G6</f>
        <v>214500</v>
      </c>
      <c r="H13" s="9" t="n">
        <f aca="false">IFERROR(Holdings!G6/Holdings!F6,0)</f>
        <v>0.0674528301886792</v>
      </c>
      <c r="I13" s="9" t="n">
        <f aca="false">IFERROR(Holdings!G6/Holdings!E6,0)</f>
        <v>0.11</v>
      </c>
    </row>
    <row r="14" customFormat="false" ht="15" hidden="false" customHeight="false" outlineLevel="0" collapsed="false">
      <c r="B14" s="7" t="str">
        <f aca="false">Holdings!B7</f>
        <v>St. Pete Multifamily II</v>
      </c>
      <c r="C14" s="7" t="str">
        <f aca="false">Holdings!C7</f>
        <v>St. Pete</v>
      </c>
      <c r="D14" s="7" t="str">
        <f aca="false">Holdings!D7</f>
        <v>Multifamily</v>
      </c>
      <c r="E14" s="8" t="n">
        <f aca="false">Holdings!E7</f>
        <v>2400000</v>
      </c>
      <c r="F14" s="8" t="n">
        <f aca="false">Holdings!F7</f>
        <v>3950000</v>
      </c>
      <c r="G14" s="8" t="n">
        <f aca="false">Holdings!G7</f>
        <v>298000</v>
      </c>
      <c r="H14" s="9" t="n">
        <f aca="false">IFERROR(Holdings!G7/Holdings!F7,0)</f>
        <v>0.0754430379746836</v>
      </c>
      <c r="I14" s="9" t="n">
        <f aca="false">IFERROR(Holdings!G7/Holdings!E7,0)</f>
        <v>0.124166666666667</v>
      </c>
    </row>
    <row r="15" customFormat="false" ht="15" hidden="false" customHeight="false" outlineLevel="0" collapsed="false">
      <c r="B15" s="7" t="str">
        <f aca="false">Holdings!B8</f>
        <v>Pinellas Self-Storage III</v>
      </c>
      <c r="C15" s="7" t="str">
        <f aca="false">Holdings!C8</f>
        <v>Largo</v>
      </c>
      <c r="D15" s="7" t="str">
        <f aca="false">Holdings!D8</f>
        <v>Storage</v>
      </c>
      <c r="E15" s="8" t="n">
        <f aca="false">Holdings!E8</f>
        <v>1150000</v>
      </c>
      <c r="F15" s="8" t="n">
        <f aca="false">Holdings!F8</f>
        <v>1575000</v>
      </c>
      <c r="G15" s="8" t="n">
        <f aca="false">Holdings!G8</f>
        <v>132400</v>
      </c>
      <c r="H15" s="9" t="n">
        <f aca="false">IFERROR(Holdings!G8/Holdings!F8,0)</f>
        <v>0.0840634920634921</v>
      </c>
      <c r="I15" s="9" t="n">
        <f aca="false">IFERROR(Holdings!G8/Holdings!E8,0)</f>
        <v>0.115130434782609</v>
      </c>
    </row>
    <row r="16" customFormat="false" ht="15" hidden="false" customHeight="false" outlineLevel="0" collapsed="false">
      <c r="B16" s="7" t="str">
        <f aca="false">Holdings!B9</f>
        <v>Tampa Riverwalk Mixed-Use</v>
      </c>
      <c r="C16" s="7" t="str">
        <f aca="false">Holdings!C9</f>
        <v>Tampa</v>
      </c>
      <c r="D16" s="7" t="str">
        <f aca="false">Holdings!D9</f>
        <v>Mixed-use</v>
      </c>
      <c r="E16" s="8" t="n">
        <f aca="false">Holdings!E9</f>
        <v>1600000</v>
      </c>
      <c r="F16" s="8" t="n">
        <f aca="false">Holdings!F9</f>
        <v>2400000</v>
      </c>
      <c r="G16" s="8" t="n">
        <f aca="false">Holdings!G9</f>
        <v>168200</v>
      </c>
      <c r="H16" s="9" t="n">
        <f aca="false">IFERROR(Holdings!G9/Holdings!F9,0)</f>
        <v>0.0700833333333333</v>
      </c>
      <c r="I16" s="9" t="n">
        <f aca="false">IFERROR(Holdings!G9/Holdings!E9,0)</f>
        <v>0.105125</v>
      </c>
    </row>
    <row r="17" customFormat="false" ht="15" hidden="false" customHeight="false" outlineLevel="0" collapsed="false">
      <c r="B17" s="7" t="str">
        <f aca="false">Holdings!B10</f>
        <v>Bradenton Medical Office</v>
      </c>
      <c r="C17" s="7" t="str">
        <f aca="false">Holdings!C10</f>
        <v>Bradenton</v>
      </c>
      <c r="D17" s="7" t="str">
        <f aca="false">Holdings!D10</f>
        <v>Office</v>
      </c>
      <c r="E17" s="8" t="n">
        <f aca="false">Holdings!E10</f>
        <v>1100000</v>
      </c>
      <c r="F17" s="8" t="n">
        <f aca="false">Holdings!F10</f>
        <v>1620000</v>
      </c>
      <c r="G17" s="8" t="n">
        <f aca="false">Holdings!G10</f>
        <v>119800</v>
      </c>
      <c r="H17" s="9" t="n">
        <f aca="false">IFERROR(Holdings!G10/Holdings!F10,0)</f>
        <v>0.0739506172839506</v>
      </c>
      <c r="I17" s="9" t="n">
        <f aca="false">IFERROR(Holdings!G10/Holdings!E10,0)</f>
        <v>0.108909090909091</v>
      </c>
    </row>
    <row r="18" customFormat="false" ht="15" hidden="false" customHeight="false" outlineLevel="0" collapsed="false">
      <c r="B18" s="10" t="s">
        <v>14</v>
      </c>
      <c r="C18" s="10"/>
      <c r="D18" s="10"/>
      <c r="E18" s="11" t="n">
        <f aca="false">SUM(E11:E17)</f>
        <v>14250000</v>
      </c>
      <c r="F18" s="11" t="n">
        <f aca="false">SUM(F11:F17)</f>
        <v>22695000</v>
      </c>
      <c r="G18" s="11" t="n">
        <f aca="false">SUM(G11:G17)</f>
        <v>1709900</v>
      </c>
      <c r="H18" s="12" t="n">
        <f aca="false">IFERROR(G18/F18,0)</f>
        <v>0.0753425864727914</v>
      </c>
      <c r="I18" s="12" t="n">
        <f aca="false">IFERROR(G18/E18,0)</f>
        <v>0.11999298245614</v>
      </c>
    </row>
    <row r="20" customFormat="false" ht="15" hidden="false" customHeight="false" outlineLevel="0" collapsed="false">
      <c r="B20" s="13" t="s">
        <v>15</v>
      </c>
      <c r="C20" s="13"/>
      <c r="D20" s="13"/>
      <c r="E20" s="13"/>
      <c r="F20" s="13"/>
      <c r="G20" s="13"/>
      <c r="H20" s="13"/>
      <c r="I20" s="13"/>
    </row>
  </sheetData>
  <mergeCells count="12">
    <mergeCell ref="B2:H2"/>
    <mergeCell ref="B3:H3"/>
    <mergeCell ref="B5:C5"/>
    <mergeCell ref="D5:E5"/>
    <mergeCell ref="F5:G5"/>
    <mergeCell ref="H5:I5"/>
    <mergeCell ref="B6:C6"/>
    <mergeCell ref="D6:E6"/>
    <mergeCell ref="F6:G6"/>
    <mergeCell ref="H6:I6"/>
    <mergeCell ref="B9:H9"/>
    <mergeCell ref="B20:I20"/>
  </mergeCells>
  <conditionalFormatting sqref="I11:I17">
    <cfRule type="colorScale" priority="2">
      <colorScale>
        <cfvo type="min" val="0"/>
        <cfvo type="percentile" val="50"/>
        <cfvo type="max" val="0"/>
        <color rgb="FFF8D5C5"/>
        <color rgb="FFF7E5C7"/>
        <color rgb="FFC9DDB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7" min="5" style="0" width="16"/>
    <col collapsed="false" customWidth="true" hidden="false" outlineLevel="0" max="8" min="8" style="0" width="14"/>
  </cols>
  <sheetData>
    <row r="2" customFormat="false" ht="25.5" hidden="false" customHeight="true" outlineLevel="0" collapsed="false">
      <c r="B2" s="14" t="s">
        <v>16</v>
      </c>
      <c r="C2" s="14"/>
      <c r="D2" s="14"/>
      <c r="E2" s="14"/>
      <c r="F2" s="14"/>
      <c r="G2" s="14"/>
      <c r="H2" s="14"/>
    </row>
    <row r="3" customFormat="false" ht="15" hidden="false" customHeight="false" outlineLevel="0" collapsed="false">
      <c r="B3" s="6" t="s">
        <v>7</v>
      </c>
      <c r="C3" s="6" t="s">
        <v>8</v>
      </c>
      <c r="D3" s="6" t="s">
        <v>9</v>
      </c>
      <c r="E3" s="6" t="s">
        <v>17</v>
      </c>
      <c r="F3" s="6" t="s">
        <v>18</v>
      </c>
      <c r="G3" s="6" t="s">
        <v>19</v>
      </c>
      <c r="H3" s="6" t="s">
        <v>20</v>
      </c>
    </row>
    <row r="4" customFormat="false" ht="15" hidden="false" customHeight="false" outlineLevel="0" collapsed="false">
      <c r="B4" s="7" t="s">
        <v>21</v>
      </c>
      <c r="C4" s="7" t="s">
        <v>22</v>
      </c>
      <c r="D4" s="7" t="s">
        <v>23</v>
      </c>
      <c r="E4" s="15" t="n">
        <v>3250000</v>
      </c>
      <c r="F4" s="15" t="n">
        <v>5150000</v>
      </c>
      <c r="G4" s="15" t="n">
        <v>412000</v>
      </c>
      <c r="H4" s="7" t="s">
        <v>24</v>
      </c>
    </row>
    <row r="5" customFormat="false" ht="15" hidden="false" customHeight="false" outlineLevel="0" collapsed="false">
      <c r="B5" s="7" t="s">
        <v>25</v>
      </c>
      <c r="C5" s="7" t="s">
        <v>26</v>
      </c>
      <c r="D5" s="7" t="s">
        <v>27</v>
      </c>
      <c r="E5" s="15" t="n">
        <v>2800000</v>
      </c>
      <c r="F5" s="15" t="n">
        <v>4820000</v>
      </c>
      <c r="G5" s="15" t="n">
        <v>365000</v>
      </c>
      <c r="H5" s="7" t="s">
        <v>28</v>
      </c>
    </row>
    <row r="6" customFormat="false" ht="15" hidden="false" customHeight="false" outlineLevel="0" collapsed="false">
      <c r="B6" s="7" t="s">
        <v>29</v>
      </c>
      <c r="C6" s="7" t="s">
        <v>30</v>
      </c>
      <c r="D6" s="7" t="s">
        <v>31</v>
      </c>
      <c r="E6" s="15" t="n">
        <v>1950000</v>
      </c>
      <c r="F6" s="15" t="n">
        <v>3180000</v>
      </c>
      <c r="G6" s="15" t="n">
        <v>214500</v>
      </c>
      <c r="H6" s="7" t="s">
        <v>32</v>
      </c>
    </row>
    <row r="7" customFormat="false" ht="15" hidden="false" customHeight="false" outlineLevel="0" collapsed="false">
      <c r="B7" s="7" t="s">
        <v>33</v>
      </c>
      <c r="C7" s="7" t="s">
        <v>34</v>
      </c>
      <c r="D7" s="7" t="s">
        <v>35</v>
      </c>
      <c r="E7" s="15" t="n">
        <v>2400000</v>
      </c>
      <c r="F7" s="15" t="n">
        <v>3950000</v>
      </c>
      <c r="G7" s="15" t="n">
        <v>298000</v>
      </c>
      <c r="H7" s="7" t="s">
        <v>36</v>
      </c>
    </row>
    <row r="8" customFormat="false" ht="15" hidden="false" customHeight="false" outlineLevel="0" collapsed="false">
      <c r="B8" s="7" t="s">
        <v>37</v>
      </c>
      <c r="C8" s="7" t="s">
        <v>38</v>
      </c>
      <c r="D8" s="7" t="s">
        <v>39</v>
      </c>
      <c r="E8" s="15" t="n">
        <v>1150000</v>
      </c>
      <c r="F8" s="15" t="n">
        <v>1575000</v>
      </c>
      <c r="G8" s="15" t="n">
        <v>132400</v>
      </c>
      <c r="H8" s="7" t="s">
        <v>40</v>
      </c>
    </row>
    <row r="9" customFormat="false" ht="15" hidden="false" customHeight="false" outlineLevel="0" collapsed="false">
      <c r="B9" s="7" t="s">
        <v>41</v>
      </c>
      <c r="C9" s="7" t="s">
        <v>22</v>
      </c>
      <c r="D9" s="7" t="s">
        <v>42</v>
      </c>
      <c r="E9" s="15" t="n">
        <v>1600000</v>
      </c>
      <c r="F9" s="15" t="n">
        <v>2400000</v>
      </c>
      <c r="G9" s="15" t="n">
        <v>168200</v>
      </c>
      <c r="H9" s="7" t="s">
        <v>43</v>
      </c>
    </row>
    <row r="10" customFormat="false" ht="15" hidden="false" customHeight="false" outlineLevel="0" collapsed="false">
      <c r="B10" s="7" t="s">
        <v>44</v>
      </c>
      <c r="C10" s="7" t="s">
        <v>45</v>
      </c>
      <c r="D10" s="7" t="s">
        <v>23</v>
      </c>
      <c r="E10" s="15" t="n">
        <v>1100000</v>
      </c>
      <c r="F10" s="15" t="n">
        <v>1620000</v>
      </c>
      <c r="G10" s="15" t="n">
        <v>119800</v>
      </c>
      <c r="H10" s="7" t="s">
        <v>46</v>
      </c>
    </row>
    <row r="11" customFormat="false" ht="15" hidden="false" customHeight="false" outlineLevel="0" collapsed="false">
      <c r="B11" s="10" t="s">
        <v>47</v>
      </c>
      <c r="C11" s="10"/>
      <c r="D11" s="10"/>
      <c r="E11" s="11" t="n">
        <f aca="false">SUM(E4:E10)</f>
        <v>14250000</v>
      </c>
      <c r="F11" s="11" t="n">
        <f aca="false">SUM(F4:F10)</f>
        <v>22695000</v>
      </c>
      <c r="G11" s="11" t="n">
        <f aca="false">SUM(G4:G10)</f>
        <v>1709900</v>
      </c>
      <c r="H11" s="10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4"/>
  </cols>
  <sheetData>
    <row r="2" customFormat="false" ht="25.5" hidden="false" customHeight="true" outlineLevel="0" collapsed="false">
      <c r="B2" s="14" t="s">
        <v>48</v>
      </c>
      <c r="C2" s="14"/>
      <c r="D2" s="14"/>
      <c r="E2" s="14"/>
      <c r="F2" s="14"/>
    </row>
    <row r="3" customFormat="false" ht="15" hidden="false" customHeight="false" outlineLevel="0" collapsed="false">
      <c r="B3" s="6" t="s">
        <v>49</v>
      </c>
      <c r="C3" s="6" t="s">
        <v>7</v>
      </c>
      <c r="D3" s="6" t="s">
        <v>9</v>
      </c>
      <c r="E3" s="6" t="s">
        <v>50</v>
      </c>
      <c r="F3" s="6" t="s">
        <v>51</v>
      </c>
    </row>
    <row r="4" customFormat="false" ht="15" hidden="false" customHeight="false" outlineLevel="0" collapsed="false">
      <c r="B4" s="7" t="s">
        <v>52</v>
      </c>
      <c r="C4" s="7" t="s">
        <v>21</v>
      </c>
      <c r="D4" s="7" t="s">
        <v>53</v>
      </c>
      <c r="E4" s="7" t="s">
        <v>54</v>
      </c>
      <c r="F4" s="15" t="n">
        <v>98400</v>
      </c>
    </row>
    <row r="5" customFormat="false" ht="15" hidden="false" customHeight="false" outlineLevel="0" collapsed="false">
      <c r="B5" s="7" t="s">
        <v>52</v>
      </c>
      <c r="C5" s="7" t="s">
        <v>25</v>
      </c>
      <c r="D5" s="7" t="s">
        <v>53</v>
      </c>
      <c r="E5" s="7" t="s">
        <v>54</v>
      </c>
      <c r="F5" s="15" t="n">
        <v>86200</v>
      </c>
    </row>
    <row r="6" customFormat="false" ht="15" hidden="false" customHeight="false" outlineLevel="0" collapsed="false">
      <c r="B6" s="7" t="s">
        <v>55</v>
      </c>
      <c r="C6" s="7" t="s">
        <v>33</v>
      </c>
      <c r="D6" s="7" t="s">
        <v>53</v>
      </c>
      <c r="E6" s="7" t="s">
        <v>56</v>
      </c>
      <c r="F6" s="15" t="n">
        <v>24500</v>
      </c>
    </row>
    <row r="7" customFormat="false" ht="15" hidden="false" customHeight="false" outlineLevel="0" collapsed="false">
      <c r="B7" s="7" t="s">
        <v>57</v>
      </c>
      <c r="C7" s="7" t="s">
        <v>33</v>
      </c>
      <c r="D7" s="7" t="s">
        <v>53</v>
      </c>
      <c r="E7" s="7" t="s">
        <v>56</v>
      </c>
      <c r="F7" s="15" t="n">
        <v>25100</v>
      </c>
    </row>
    <row r="8" customFormat="false" ht="15" hidden="false" customHeight="false" outlineLevel="0" collapsed="false">
      <c r="B8" s="7" t="s">
        <v>58</v>
      </c>
      <c r="C8" s="7" t="s">
        <v>33</v>
      </c>
      <c r="D8" s="7" t="s">
        <v>53</v>
      </c>
      <c r="E8" s="7" t="s">
        <v>56</v>
      </c>
      <c r="F8" s="15" t="n">
        <v>25600</v>
      </c>
    </row>
    <row r="9" customFormat="false" ht="15" hidden="false" customHeight="false" outlineLevel="0" collapsed="false">
      <c r="B9" s="7" t="s">
        <v>59</v>
      </c>
      <c r="C9" s="7" t="s">
        <v>21</v>
      </c>
      <c r="D9" s="7" t="s">
        <v>53</v>
      </c>
      <c r="E9" s="7" t="s">
        <v>60</v>
      </c>
      <c r="F9" s="15" t="n">
        <v>104200</v>
      </c>
    </row>
    <row r="10" customFormat="false" ht="15" hidden="false" customHeight="false" outlineLevel="0" collapsed="false">
      <c r="B10" s="7" t="s">
        <v>59</v>
      </c>
      <c r="C10" s="7" t="s">
        <v>33</v>
      </c>
      <c r="D10" s="7" t="s">
        <v>53</v>
      </c>
      <c r="E10" s="7" t="s">
        <v>61</v>
      </c>
      <c r="F10" s="15" t="n">
        <v>78600</v>
      </c>
    </row>
    <row r="11" customFormat="false" ht="15" hidden="false" customHeight="false" outlineLevel="0" collapsed="false">
      <c r="B11" s="7" t="s">
        <v>62</v>
      </c>
      <c r="C11" s="7" t="s">
        <v>29</v>
      </c>
      <c r="D11" s="7" t="s">
        <v>63</v>
      </c>
      <c r="E11" s="7" t="s">
        <v>64</v>
      </c>
      <c r="F11" s="15" t="n">
        <v>145500</v>
      </c>
    </row>
    <row r="12" customFormat="false" ht="15" hidden="false" customHeight="false" outlineLevel="0" collapsed="false">
      <c r="B12" s="7" t="s">
        <v>65</v>
      </c>
      <c r="C12" s="7" t="s">
        <v>37</v>
      </c>
      <c r="D12" s="7" t="s">
        <v>66</v>
      </c>
      <c r="E12" s="7" t="s">
        <v>67</v>
      </c>
      <c r="F12" s="15" t="n">
        <v>38000</v>
      </c>
    </row>
    <row r="13" customFormat="false" ht="15" hidden="false" customHeight="false" outlineLevel="0" collapsed="false">
      <c r="B13" s="7" t="s">
        <v>65</v>
      </c>
      <c r="C13" s="7" t="s">
        <v>44</v>
      </c>
      <c r="D13" s="7" t="s">
        <v>53</v>
      </c>
      <c r="E13" s="7" t="s">
        <v>68</v>
      </c>
      <c r="F13" s="15" t="n">
        <v>30200</v>
      </c>
    </row>
    <row r="14" customFormat="false" ht="15" hidden="false" customHeight="false" outlineLevel="0" collapsed="false">
      <c r="B14" s="10" t="s">
        <v>69</v>
      </c>
      <c r="C14" s="10"/>
      <c r="D14" s="10"/>
      <c r="E14" s="10"/>
      <c r="F14" s="11" t="n">
        <f aca="false">SUM(F4:F13)</f>
        <v>656300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8"/>
  </cols>
  <sheetData>
    <row r="2" customFormat="false" ht="25.5" hidden="false" customHeight="true" outlineLevel="0" collapsed="false">
      <c r="B2" s="14" t="s">
        <v>70</v>
      </c>
      <c r="C2" s="14"/>
      <c r="D2" s="14"/>
      <c r="E2" s="14"/>
      <c r="F2" s="14"/>
    </row>
    <row r="3" customFormat="false" ht="15" hidden="false" customHeight="false" outlineLevel="0" collapsed="false">
      <c r="B3" s="6" t="s">
        <v>71</v>
      </c>
      <c r="C3" s="6" t="s">
        <v>72</v>
      </c>
      <c r="D3" s="6" t="s">
        <v>73</v>
      </c>
      <c r="E3" s="6" t="s">
        <v>74</v>
      </c>
      <c r="F3" s="6" t="s">
        <v>75</v>
      </c>
    </row>
    <row r="4" customFormat="false" ht="15" hidden="false" customHeight="false" outlineLevel="0" collapsed="false">
      <c r="B4" s="7" t="s">
        <v>76</v>
      </c>
      <c r="C4" s="15" t="n">
        <v>14820000</v>
      </c>
      <c r="D4" s="15" t="n">
        <v>1530000</v>
      </c>
      <c r="E4" s="15" t="n">
        <v>248400</v>
      </c>
      <c r="F4" s="16" t="n">
        <f aca="false">IFERROR(E4/C4,0)</f>
        <v>0.0167611336032389</v>
      </c>
    </row>
    <row r="5" customFormat="false" ht="15" hidden="false" customHeight="false" outlineLevel="0" collapsed="false">
      <c r="B5" s="7" t="s">
        <v>77</v>
      </c>
      <c r="C5" s="15" t="n">
        <v>15240000</v>
      </c>
      <c r="D5" s="15" t="n">
        <v>1582000</v>
      </c>
      <c r="E5" s="15" t="n">
        <v>261800</v>
      </c>
      <c r="F5" s="16" t="n">
        <f aca="false">IFERROR(E5/C5,0)</f>
        <v>0.0171784776902887</v>
      </c>
    </row>
    <row r="6" customFormat="false" ht="15" hidden="false" customHeight="false" outlineLevel="0" collapsed="false">
      <c r="B6" s="7" t="s">
        <v>78</v>
      </c>
      <c r="C6" s="15" t="n">
        <v>15820000</v>
      </c>
      <c r="D6" s="15" t="n">
        <v>1648000</v>
      </c>
      <c r="E6" s="15" t="n">
        <v>284500</v>
      </c>
      <c r="F6" s="16" t="n">
        <f aca="false">IFERROR(E6/C6,0)</f>
        <v>0.0179835651074589</v>
      </c>
    </row>
    <row r="7" customFormat="false" ht="15" hidden="false" customHeight="false" outlineLevel="0" collapsed="false">
      <c r="B7" s="7" t="s">
        <v>79</v>
      </c>
      <c r="C7" s="15" t="n">
        <v>16475000</v>
      </c>
      <c r="D7" s="15" t="n">
        <v>1710000</v>
      </c>
      <c r="E7" s="15" t="n">
        <v>327800</v>
      </c>
      <c r="F7" s="16" t="n">
        <f aca="false">IFERROR(E7/C7,0)</f>
        <v>0.019896813353566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50"/>
  </cols>
  <sheetData>
    <row r="2" customFormat="false" ht="25.5" hidden="false" customHeight="true" outlineLevel="0" collapsed="false">
      <c r="B2" s="14" t="s">
        <v>80</v>
      </c>
      <c r="C2" s="14"/>
      <c r="D2" s="14"/>
    </row>
    <row r="4" customFormat="false" ht="15" hidden="false" customHeight="false" outlineLevel="0" collapsed="false">
      <c r="B4" s="17" t="s">
        <v>81</v>
      </c>
      <c r="C4" s="18" t="s">
        <v>82</v>
      </c>
      <c r="D4" s="19" t="s">
        <v>83</v>
      </c>
    </row>
    <row r="5" customFormat="false" ht="15" hidden="false" customHeight="false" outlineLevel="0" collapsed="false">
      <c r="B5" s="17" t="s">
        <v>84</v>
      </c>
      <c r="C5" s="18" t="s">
        <v>85</v>
      </c>
      <c r="D5" s="19" t="s">
        <v>86</v>
      </c>
    </row>
    <row r="6" customFormat="false" ht="15" hidden="false" customHeight="false" outlineLevel="0" collapsed="false">
      <c r="B6" s="17" t="s">
        <v>87</v>
      </c>
      <c r="C6" s="18" t="s">
        <v>88</v>
      </c>
      <c r="D6" s="19" t="s">
        <v>89</v>
      </c>
    </row>
    <row r="7" customFormat="false" ht="15" hidden="false" customHeight="false" outlineLevel="0" collapsed="false">
      <c r="B7" s="17" t="s">
        <v>90</v>
      </c>
      <c r="C7" s="18" t="s">
        <v>91</v>
      </c>
      <c r="D7" s="19" t="s">
        <v>92</v>
      </c>
    </row>
    <row r="8" customFormat="false" ht="15" hidden="false" customHeight="false" outlineLevel="0" collapsed="false">
      <c r="B8" s="17" t="s">
        <v>93</v>
      </c>
      <c r="C8" s="18" t="s">
        <v>94</v>
      </c>
      <c r="D8" s="19" t="s">
        <v>95</v>
      </c>
    </row>
    <row r="9" customFormat="false" ht="15" hidden="false" customHeight="false" outlineLevel="0" collapsed="false">
      <c r="B9" s="17" t="s">
        <v>96</v>
      </c>
      <c r="C9" s="18" t="s">
        <v>97</v>
      </c>
      <c r="D9" s="19" t="s">
        <v>98</v>
      </c>
    </row>
    <row r="10" customFormat="false" ht="15" hidden="false" customHeight="false" outlineLevel="0" collapsed="false">
      <c r="B10" s="17" t="s">
        <v>99</v>
      </c>
      <c r="C10" s="18" t="s">
        <v>100</v>
      </c>
      <c r="D10" s="19"/>
    </row>
    <row r="12" customFormat="false" ht="15" hidden="false" customHeight="false" outlineLevel="0" collapsed="false">
      <c r="B12" s="13" t="s">
        <v>101</v>
      </c>
      <c r="C12" s="13"/>
      <c r="D12" s="13"/>
    </row>
  </sheetData>
  <mergeCells count="2">
    <mergeCell ref="B2:D2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2026-04-30T15:36:13Z</dcterms:created>
  <dc:creator>openpyxl</dc:creator>
  <dc:description/>
  <dc:language>en-US</dc:language>
  <cp:lastModifiedBy/>
  <dcterms:modified xsi:type="dcterms:W3CDTF">2026-04-30T15:36:14Z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