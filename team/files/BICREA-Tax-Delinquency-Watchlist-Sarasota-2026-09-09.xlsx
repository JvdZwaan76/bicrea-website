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Summary" sheetId="2" state="visible" r:id="rId4"/>
    <sheet name="All Parcels" sheetId="3" state="visible" r:id="rId5"/>
    <sheet name="Top Targets" sheetId="4" state="visible" r:id="rId6"/>
  </sheets>
  <definedNames>
    <definedName function="false" hidden="false" localSheetId="2" name="_xlnm.Print_Titles" vbProcedure="false">'All Parcels'!$1:$7</definedName>
    <definedName function="false" hidden="true" localSheetId="2" name="_xlnm._FilterDatabase" vbProcedure="false">'All Parcels'!$A$7:$H$107</definedName>
    <definedName function="false" hidden="false" localSheetId="3" name="_xlnm.Print_Titles" vbProcedure="false">'Top Targets'!$1:$7</definedName>
  </definedNames>
  <calcPr iterateCount="100" refMode="A1" iterate="false" iterateDelta="0.0001"/>
</workbook>
</file>

<file path=xl/comments2.xml><?xml version="1.0" encoding="utf-8"?>
<comments xmlns="http://schemas.openxmlformats.org/spreadsheetml/2006/main" xmlns:xdr="http://schemas.openxmlformats.org/drawingml/2006/spreadsheetDrawing">
  <authors>
    <author>Unknown Author</author>
  </authors>
  <commentList>
    <comment ref="B8" authorId="0">
      <text>
        <r>
          <rPr>
            <sz val="10"/>
            <rFont val="Arial"/>
            <family val="2"/>
          </rPr>
          <t xml:space="preserve">Sum of total_owed across all 100 KEEP parcels, per the Sarasota County outstanding-certificate file read 9 Sep 2026.</t>
        </r>
      </text>
    </comment>
  </commentList>
</comments>
</file>

<file path=xl/sharedStrings.xml><?xml version="1.0" encoding="utf-8"?>
<sst xmlns="http://schemas.openxmlformats.org/spreadsheetml/2006/main" count="639" uniqueCount="297">
  <si>
    <t xml:space="preserve">◊  BIC REA LLC</t>
  </si>
  <si>
    <t xml:space="preserve">Comprehensive title research, delivered with the rigor of a major firm and the responsiveness of a focused team.</t>
  </si>
  <si>
    <t xml:space="preserve">Sarasota County Tax Delinquency Watchlist</t>
  </si>
  <si>
    <t xml:space="preserve">100 KEEP parcels · ranked by dollars owed</t>
  </si>
  <si>
    <t xml:space="preserve">Prepared by</t>
  </si>
  <si>
    <t xml:space="preserve">BIC REA LLC — Lead Engine, automated re-scan</t>
  </si>
  <si>
    <t xml:space="preserve">Data as of</t>
  </si>
  <si>
    <t xml:space="preserve">9 September 2026</t>
  </si>
  <si>
    <t xml:space="preserve">Version</t>
  </si>
  <si>
    <t xml:space="preserve">2.0 — supersedes v1.0, 9 September 2026</t>
  </si>
  <si>
    <t xml:space="preserve">Coverage</t>
  </si>
  <si>
    <t xml:space="preserve">Sarasota County, Florida</t>
  </si>
  <si>
    <t xml:space="preserve">Parcels</t>
  </si>
  <si>
    <t xml:space="preserve">100 (all KEEP-triaged)</t>
  </si>
  <si>
    <t xml:space="preserve">Portfolio balance</t>
  </si>
  <si>
    <t xml:space="preserve">$2,644,316.64</t>
  </si>
  <si>
    <t xml:space="preserve">Distribution</t>
  </si>
  <si>
    <t xml:space="preserve">bicrea.com/team — access-gated</t>
  </si>
  <si>
    <t xml:space="preserve">Classification</t>
  </si>
  <si>
    <t xml:space="preserve">Confidential — internal working document</t>
  </si>
  <si>
    <t xml:space="preserve">Contents</t>
  </si>
  <si>
    <t xml:space="preserve">Summary</t>
  </si>
  <si>
    <t xml:space="preserve">Portfolio statistics and how to read the list</t>
  </si>
  <si>
    <t xml:space="preserve">All Parcels</t>
  </si>
  <si>
    <t xml:space="preserve">All 100 parcels ranked by balance owed</t>
  </si>
  <si>
    <t xml:space="preserve">Top Targets</t>
  </si>
  <si>
    <t xml:space="preserve">Callable owners only — entities and no-owner parcels removed</t>
  </si>
  <si>
    <t xml:space="preserve">bicrea.com</t>
  </si>
  <si>
    <t xml:space="preserve">+1 (310) 963-1569</t>
  </si>
  <si>
    <t xml:space="preserve">BIC REA is a Florida-based real estate services firm. This watchlist is a non-legal analysis of public records and is not a title opinion, a title insurance policy, or legal advice. Where a title opinion is required, opinions are coordinated through independent licensed counsel, confirmed per state at engagement.</t>
  </si>
  <si>
    <t xml:space="preserve">4360 Winners Circle, Sarasota, FL 34238  ·  +1 (310) 963-1569  ·  bicrea.com</t>
  </si>
  <si>
    <t xml:space="preserve">CONFIDENTIAL — INTERNAL BIC REA LLC WORKING DOCUMENT. NOT FOR DISTRIBUTION.</t>
  </si>
  <si>
    <t xml:space="preserve">Summary — portfolio at a glance</t>
  </si>
  <si>
    <t xml:space="preserve">Sarasota County · 100 KEEP parcels · engine re-scan completed 9 September 2026</t>
  </si>
  <si>
    <t xml:space="preserve">PORTFOLIO</t>
  </si>
  <si>
    <t xml:space="preserve">Total owed</t>
  </si>
  <si>
    <t xml:space="preserve">Mean balance</t>
  </si>
  <si>
    <t xml:space="preserve">Median balance</t>
  </si>
  <si>
    <t xml:space="preserve">Largest balance</t>
  </si>
  <si>
    <t xml:space="preserve">Smallest balance</t>
  </si>
  <si>
    <t xml:space="preserve">BALANCE BANDS</t>
  </si>
  <si>
    <t xml:space="preserve">Parcels over $20,000</t>
  </si>
  <si>
    <t xml:space="preserve">Parcels over $15,000</t>
  </si>
  <si>
    <t xml:space="preserve">Parcels over $10,000</t>
  </si>
  <si>
    <t xml:space="preserve">TIERS</t>
  </si>
  <si>
    <t xml:space="preserve">WARM</t>
  </si>
  <si>
    <t xml:space="preserve">WATCH</t>
  </si>
  <si>
    <t xml:space="preserve">OWNER MIX</t>
  </si>
  <si>
    <t xml:space="preserve">Individual</t>
  </si>
  <si>
    <t xml:space="preserve">Trust</t>
  </si>
  <si>
    <t xml:space="preserve">Entity</t>
  </si>
  <si>
    <t xml:space="preserve">MISSING</t>
  </si>
  <si>
    <t xml:space="preserve">DATA QUALITY</t>
  </si>
  <si>
    <t xml:space="preserve">Parcels with situs captured</t>
  </si>
  <si>
    <t xml:space="preserve">Parcels with no owner in engine</t>
  </si>
  <si>
    <t xml:space="preserve">How to read this list</t>
  </si>
  <si>
    <t xml:space="preserve">1.  Rank by dollars, not by score. TAX_DELINQUENT is a flat +6 regardless of amount, so score is driven by owner type, tenure, out-of-state mailing and homestead — not by debt size. The largest balance in this portfolio ($159,963, parcel 0013070013) scores 1.4 and sits in the bottom quartile; the highest-scoring parcel (4.4) owes $9,986. Correcting this weighting is the highest-value scoring change available.</t>
  </si>
  <si>
    <t xml:space="preserve">2.  This is a tax-delinquency list, not the Cornelius/probate pattern. Ninety-nine tax signals, one judgment, nothing else. No probate, no deceased owners, no code enforcement, no liens. Predominantly long-tenured out-of-state condominium owners on Longboat Key. Real and workable, but a different thesis — say so plainly.</t>
  </si>
  <si>
    <t xml:space="preserve">3.  Entity owners (LLCs and condominium corporations) score 1.0 by design. Four of the six largest balances are entities. They are included here for completeness, not as call targets, and are filtered out of Top Targets.</t>
  </si>
  <si>
    <t xml:space="preserve">4.  All 100 parcels sit at years_delinquent = 1 (earliest year 2025), so the multi-year certificate bonus (+5 / +10) never fires. Obtaining the 2023 and 2024 certificate lists from the Sarasota County Tax Collector would qualify roughly 250 of 534 parcels for that bonus. At present, none do.</t>
  </si>
  <si>
    <t xml:space="preserve">Source: BIC REA Lead Engine, SQLite results table and the Sarasota County outstanding-certificate file, both read 9 September 2026.</t>
  </si>
  <si>
    <t xml:space="preserve">Owner names are truncated to 26 characters by the capture query. Full strings, signals and score breakdowns are available in results.json.</t>
  </si>
  <si>
    <t xml:space="preserve">All Parcels — ranked by dollars owed</t>
  </si>
  <si>
    <t xml:space="preserve">Owner, score and tier read from the BIC REA Lead Engine results table on 9 September 2026. Owner names are truncated to 26 characters by the capture query. Balances from the Sarasota County outstanding-certificate file.</t>
  </si>
  <si>
    <t xml:space="preserve">Rank ($)</t>
  </si>
  <si>
    <t xml:space="preserve">Parcel ID</t>
  </si>
  <si>
    <t xml:space="preserve">Total Owed</t>
  </si>
  <si>
    <t xml:space="preserve">Owner</t>
  </si>
  <si>
    <t xml:space="preserve">Owner Type</t>
  </si>
  <si>
    <t xml:space="preserve">Score</t>
  </si>
  <si>
    <t xml:space="preserve">Tier</t>
  </si>
  <si>
    <t xml:space="preserve">Situs Address</t>
  </si>
  <si>
    <t xml:space="preserve">0013070013</t>
  </si>
  <si>
    <t xml:space="preserve">LEVENTI IRREVOCABLLE TRUST</t>
  </si>
  <si>
    <t xml:space="preserve">1255 WESTWAY DR SARASOTA</t>
  </si>
  <si>
    <t xml:space="preserve">0009044063</t>
  </si>
  <si>
    <t xml:space="preserve">501 STRLBK LLC</t>
  </si>
  <si>
    <t xml:space="preserve">0013070012</t>
  </si>
  <si>
    <t xml:space="preserve">O FLYNN THOMAS BARR CHERYL</t>
  </si>
  <si>
    <t xml:space="preserve">0026020003</t>
  </si>
  <si>
    <t xml:space="preserve">SMARTRESOURCE LLC</t>
  </si>
  <si>
    <t xml:space="preserve">0009044046</t>
  </si>
  <si>
    <t xml:space="preserve">ST REGIS LONGBOAT CONDO LL</t>
  </si>
  <si>
    <t xml:space="preserve">0009044061</t>
  </si>
  <si>
    <t xml:space="preserve">UNICORP CONDO I LLC</t>
  </si>
  <si>
    <t xml:space="preserve">0013150013</t>
  </si>
  <si>
    <t xml:space="preserve">PHILIP D KALTENBACHER QPRT</t>
  </si>
  <si>
    <t xml:space="preserve">0009044002</t>
  </si>
  <si>
    <t xml:space="preserve">HMC LBK LIMITED 2ND FL GAS</t>
  </si>
  <si>
    <t xml:space="preserve">0009044024</t>
  </si>
  <si>
    <t xml:space="preserve">ROOT DARREN ROOT MICHELLE</t>
  </si>
  <si>
    <t xml:space="preserve">0011084043</t>
  </si>
  <si>
    <t xml:space="preserve">MILLER LLOYD A (TTEE)</t>
  </si>
  <si>
    <t xml:space="preserve">0011023013</t>
  </si>
  <si>
    <t xml:space="preserve">PURCELL PAUL PURCELL PATRI</t>
  </si>
  <si>
    <t xml:space="preserve">655 LONGBOAT CLUB RD #18A</t>
  </si>
  <si>
    <t xml:space="preserve">0011163045</t>
  </si>
  <si>
    <t xml:space="preserve">(no owner in engine)</t>
  </si>
  <si>
    <t xml:space="preserve">0009044022</t>
  </si>
  <si>
    <t xml:space="preserve">CHAMPAGNE VACATION CLUB LL</t>
  </si>
  <si>
    <t xml:space="preserve">0020150003</t>
  </si>
  <si>
    <t xml:space="preserve">0009044016</t>
  </si>
  <si>
    <t xml:space="preserve">0013100035</t>
  </si>
  <si>
    <t xml:space="preserve">DOAN BRIAN RANDA LAURA</t>
  </si>
  <si>
    <t xml:space="preserve">0009112171</t>
  </si>
  <si>
    <t xml:space="preserve">TRUST U/A/D 12/09/1998 WAR</t>
  </si>
  <si>
    <t xml:space="preserve">0002043004</t>
  </si>
  <si>
    <t xml:space="preserve">BETH A SCHWARTZ TRUST SCHW</t>
  </si>
  <si>
    <t xml:space="preserve">0002050013</t>
  </si>
  <si>
    <t xml:space="preserve">TEWATIA SHEKHAR RANA RACHN</t>
  </si>
  <si>
    <t xml:space="preserve">0003010019</t>
  </si>
  <si>
    <t xml:space="preserve">3606 FAIR OAKS PLACE LLC</t>
  </si>
  <si>
    <t xml:space="preserve">0003010004</t>
  </si>
  <si>
    <t xml:space="preserve">MITCHELL WILLIAM T III MIT</t>
  </si>
  <si>
    <t xml:space="preserve">0011161026</t>
  </si>
  <si>
    <t xml:space="preserve">BETH COHEN SHRIBMAN TRUST</t>
  </si>
  <si>
    <t xml:space="preserve">0006120026</t>
  </si>
  <si>
    <t xml:space="preserve">A STORAGE ONE LLC</t>
  </si>
  <si>
    <t xml:space="preserve">0025040003</t>
  </si>
  <si>
    <t xml:space="preserve">JBCC DEVELOPMENT LLC</t>
  </si>
  <si>
    <t xml:space="preserve">1200 UNIVERSITY PKWY SARAS</t>
  </si>
  <si>
    <t xml:space="preserve">0026020006</t>
  </si>
  <si>
    <t xml:space="preserve">1634 NORTHGATE LLC</t>
  </si>
  <si>
    <t xml:space="preserve">1634 NORTHGATE BLVD SARASO</t>
  </si>
  <si>
    <t xml:space="preserve">0003080023</t>
  </si>
  <si>
    <t xml:space="preserve">3621 BAYOU CIRCLE LAND TRU</t>
  </si>
  <si>
    <t xml:space="preserve">0009044018</t>
  </si>
  <si>
    <t xml:space="preserve">SCHECHTER JASON WALLACH MI</t>
  </si>
  <si>
    <t xml:space="preserve">0009112128</t>
  </si>
  <si>
    <t xml:space="preserve">SMITH SEAN SMITH JACQUELIN</t>
  </si>
  <si>
    <t xml:space="preserve">0011161060</t>
  </si>
  <si>
    <t xml:space="preserve">PERIN PATRICK PERIN JILL</t>
  </si>
  <si>
    <t xml:space="preserve">0009112012</t>
  </si>
  <si>
    <t xml:space="preserve">SEVERINO VICTOR (TTEE)</t>
  </si>
  <si>
    <t xml:space="preserve">0009111111</t>
  </si>
  <si>
    <t xml:space="preserve">RUSSELL ROBERT STANLEY (TT</t>
  </si>
  <si>
    <t xml:space="preserve">0008042104</t>
  </si>
  <si>
    <t xml:space="preserve">HALL JULIA</t>
  </si>
  <si>
    <t xml:space="preserve">0003160029</t>
  </si>
  <si>
    <t xml:space="preserve">WOODWARD CHRIS WOODWARD JU</t>
  </si>
  <si>
    <t xml:space="preserve">0013041053</t>
  </si>
  <si>
    <t xml:space="preserve">SUTER OWEN E III SUTER DEB</t>
  </si>
  <si>
    <t xml:space="preserve">210 SANDS POINT RD #2601</t>
  </si>
  <si>
    <t xml:space="preserve">0009111112</t>
  </si>
  <si>
    <t xml:space="preserve">ROBERT STANLEY RUSSELL REV</t>
  </si>
  <si>
    <t xml:space="preserve">0007052008</t>
  </si>
  <si>
    <t xml:space="preserve">ANDERSON LAURA BENTON SUSA</t>
  </si>
  <si>
    <t xml:space="preserve">0007080010</t>
  </si>
  <si>
    <t xml:space="preserve">WOOD ELWOOD S WOOD JEAN E</t>
  </si>
  <si>
    <t xml:space="preserve">0011021085</t>
  </si>
  <si>
    <t xml:space="preserve">DAVID NAMEY JR QUALIFIED P</t>
  </si>
  <si>
    <t xml:space="preserve">603 LONGBOAT CLUB RD #1104</t>
  </si>
  <si>
    <t xml:space="preserve">0007051083</t>
  </si>
  <si>
    <t xml:space="preserve">ROGAN JOHN W (CO-TTEE) ROG</t>
  </si>
  <si>
    <t xml:space="preserve">0010060014</t>
  </si>
  <si>
    <t xml:space="preserve">THIEL MICHELE C</t>
  </si>
  <si>
    <t xml:space="preserve">971 LONGBOAT CLUB RD LONGB</t>
  </si>
  <si>
    <t xml:space="preserve">0004101010</t>
  </si>
  <si>
    <t xml:space="preserve">VOLLRATH MATTHEW PAUL VOLL</t>
  </si>
  <si>
    <t xml:space="preserve">0003010006</t>
  </si>
  <si>
    <t xml:space="preserve">HAMBURG GERALD HAMBURG DEB</t>
  </si>
  <si>
    <t xml:space="preserve">0013042035</t>
  </si>
  <si>
    <t xml:space="preserve">RAINVILLE WILLIAM A</t>
  </si>
  <si>
    <t xml:space="preserve">0004101040</t>
  </si>
  <si>
    <t xml:space="preserve">SCAVRON LEONARD J SCAVRON</t>
  </si>
  <si>
    <t xml:space="preserve">0012051135</t>
  </si>
  <si>
    <t xml:space="preserve">SUSAN R HOMAN TRUST HOMAN</t>
  </si>
  <si>
    <t xml:space="preserve">0002060005</t>
  </si>
  <si>
    <t xml:space="preserve">AYGUN CENGIZ</t>
  </si>
  <si>
    <t xml:space="preserve">0006120025</t>
  </si>
  <si>
    <t xml:space="preserve">LAMICHANE MANISH LAMICHANE</t>
  </si>
  <si>
    <t xml:space="preserve">0031110031</t>
  </si>
  <si>
    <t xml:space="preserve">DU BOSE ERNEST II DU BOSE</t>
  </si>
  <si>
    <t xml:space="preserve">0003010037</t>
  </si>
  <si>
    <t xml:space="preserve">SARVER RICHARD SARVER AMY</t>
  </si>
  <si>
    <t xml:space="preserve">0011082023</t>
  </si>
  <si>
    <t xml:space="preserve">ITALIANO LUCIA</t>
  </si>
  <si>
    <t xml:space="preserve">585 SANCTUARY DR #B-103 LO</t>
  </si>
  <si>
    <t xml:space="preserve">0004050014</t>
  </si>
  <si>
    <t xml:space="preserve">HENRY HOLLIS C JR HENRY LY</t>
  </si>
  <si>
    <t xml:space="preserve">0007051054</t>
  </si>
  <si>
    <t xml:space="preserve">ROSS LAWRENCE J</t>
  </si>
  <si>
    <t xml:space="preserve">0009111063</t>
  </si>
  <si>
    <t xml:space="preserve">YOUNG-AGEE LAURIE AGEE JOH</t>
  </si>
  <si>
    <t xml:space="preserve">0023060009</t>
  </si>
  <si>
    <t xml:space="preserve">2018 DESOTO ACRES LLC</t>
  </si>
  <si>
    <t xml:space="preserve">0004151050</t>
  </si>
  <si>
    <t xml:space="preserve">0009111069</t>
  </si>
  <si>
    <t xml:space="preserve">SICIGNANO SUSAN CORINNE</t>
  </si>
  <si>
    <t xml:space="preserve">0008023035</t>
  </si>
  <si>
    <t xml:space="preserve">KANTNER JEFFREY</t>
  </si>
  <si>
    <t xml:space="preserve">0007141076</t>
  </si>
  <si>
    <t xml:space="preserve">NEUSCHELER KIM MARIE</t>
  </si>
  <si>
    <t xml:space="preserve">0006040020</t>
  </si>
  <si>
    <t xml:space="preserve">BFB CAPITAL LLC</t>
  </si>
  <si>
    <t xml:space="preserve">0007051010</t>
  </si>
  <si>
    <t xml:space="preserve">ISLANDS EAST LLC</t>
  </si>
  <si>
    <t xml:space="preserve">0010062021</t>
  </si>
  <si>
    <t xml:space="preserve">JANINE M KUCERA LIVING TRU</t>
  </si>
  <si>
    <t xml:space="preserve">1050 LONGBOAT CLUB RD #501</t>
  </si>
  <si>
    <t xml:space="preserve">0010031034</t>
  </si>
  <si>
    <t xml:space="preserve">0010061008</t>
  </si>
  <si>
    <t xml:space="preserve">ZORACKI JASON ZORACKI MYA</t>
  </si>
  <si>
    <t xml:space="preserve">1000 LONGBOAT CLUB RD #301</t>
  </si>
  <si>
    <t xml:space="preserve">0003090023</t>
  </si>
  <si>
    <t xml:space="preserve">SIWY RENE</t>
  </si>
  <si>
    <t xml:space="preserve">0017110002</t>
  </si>
  <si>
    <t xml:space="preserve">EURO TRADING CORP LTD</t>
  </si>
  <si>
    <t xml:space="preserve">0010100010</t>
  </si>
  <si>
    <t xml:space="preserve">SMOTHERS BENTON SR SMOTHER</t>
  </si>
  <si>
    <t xml:space="preserve">549 GUNWALE LN LONGBOAT KE</t>
  </si>
  <si>
    <t xml:space="preserve">0023040001</t>
  </si>
  <si>
    <t xml:space="preserve">DOW BUILDINGS LLC</t>
  </si>
  <si>
    <t xml:space="preserve">0008141033</t>
  </si>
  <si>
    <t xml:space="preserve">NEW ANDREW</t>
  </si>
  <si>
    <t xml:space="preserve">0008023051</t>
  </si>
  <si>
    <t xml:space="preserve">LEVITT TAUBE L (TTEE) TAUB</t>
  </si>
  <si>
    <t xml:space="preserve">0005092002</t>
  </si>
  <si>
    <t xml:space="preserve">ROBERT STANLEY REVOCABLE T</t>
  </si>
  <si>
    <t xml:space="preserve">0010062013</t>
  </si>
  <si>
    <t xml:space="preserve">HMM INVESTMENTS LLC</t>
  </si>
  <si>
    <t xml:space="preserve">1050 LONGBOAT CLUB RD #305</t>
  </si>
  <si>
    <t xml:space="preserve">0010031106</t>
  </si>
  <si>
    <t xml:space="preserve">BARRY G MARTA LIVING TRUST</t>
  </si>
  <si>
    <t xml:space="preserve">1115 GULF OF MEXICO DR #20</t>
  </si>
  <si>
    <t xml:space="preserve">0002050018</t>
  </si>
  <si>
    <t xml:space="preserve">PRINCIPE EDWARD RANDALL SH</t>
  </si>
  <si>
    <t xml:space="preserve">0009054029</t>
  </si>
  <si>
    <t xml:space="preserve">FABI EVA-MARIA FABI CHRIST</t>
  </si>
  <si>
    <t xml:space="preserve">0007141069</t>
  </si>
  <si>
    <t xml:space="preserve">HIGHET DAVID W</t>
  </si>
  <si>
    <t xml:space="preserve">0013044054</t>
  </si>
  <si>
    <t xml:space="preserve">BLUE MOUNTAIN HOUSE LLC</t>
  </si>
  <si>
    <t xml:space="preserve">0010032052</t>
  </si>
  <si>
    <t xml:space="preserve">1095 GULF OF MEXICO DR #60</t>
  </si>
  <si>
    <t xml:space="preserve">0005080027</t>
  </si>
  <si>
    <t xml:space="preserve">LONGBOAT BUTTONWOOD DRIVE</t>
  </si>
  <si>
    <t xml:space="preserve">0017160003</t>
  </si>
  <si>
    <t xml:space="preserve">BURNSIDE SUSANNE G</t>
  </si>
  <si>
    <t xml:space="preserve">0026010023</t>
  </si>
  <si>
    <t xml:space="preserve">FIRST STEP OF SARASOTA INC</t>
  </si>
  <si>
    <t xml:space="preserve">0010070007</t>
  </si>
  <si>
    <t xml:space="preserve">SUGG SUZANNE BRUCE</t>
  </si>
  <si>
    <t xml:space="preserve">970 BOGEY LN LONGBOAT KEY</t>
  </si>
  <si>
    <t xml:space="preserve">0010100012</t>
  </si>
  <si>
    <t xml:space="preserve">WHITEHEAD FAMILY LIVING TR</t>
  </si>
  <si>
    <t xml:space="preserve">548 GUNWALE LN LONGBOAT KE</t>
  </si>
  <si>
    <t xml:space="preserve">0010033111</t>
  </si>
  <si>
    <t xml:space="preserve">WEST C RICHARD</t>
  </si>
  <si>
    <t xml:space="preserve">1085 GULF OF MEXICO DR #30</t>
  </si>
  <si>
    <t xml:space="preserve">0004050009</t>
  </si>
  <si>
    <t xml:space="preserve">0030020005</t>
  </si>
  <si>
    <t xml:space="preserve">STRAUSS ROBERT J (E LIFE E</t>
  </si>
  <si>
    <t xml:space="preserve">3350 RIDGEVIEW DR SARASOTA</t>
  </si>
  <si>
    <t xml:space="preserve">0007141073</t>
  </si>
  <si>
    <t xml:space="preserve">BARKER BECKY</t>
  </si>
  <si>
    <t xml:space="preserve">0008022060</t>
  </si>
  <si>
    <t xml:space="preserve">SAMPSON THOMAS E SAMPSON T</t>
  </si>
  <si>
    <t xml:space="preserve">0002145012</t>
  </si>
  <si>
    <t xml:space="preserve">KAMALASAN SUBATH</t>
  </si>
  <si>
    <t xml:space="preserve">0010032018</t>
  </si>
  <si>
    <t xml:space="preserve">PALSA JOSEPH A (TTEE)</t>
  </si>
  <si>
    <t xml:space="preserve">1105 GULF OF MEXICO DR #50</t>
  </si>
  <si>
    <t xml:space="preserve">0011161017</t>
  </si>
  <si>
    <t xml:space="preserve">TODD GARY O (TTEE)</t>
  </si>
  <si>
    <t xml:space="preserve">0008022104</t>
  </si>
  <si>
    <t xml:space="preserve">GLINER MARINA L (TTEE) MAR</t>
  </si>
  <si>
    <t xml:space="preserve">0017140008</t>
  </si>
  <si>
    <t xml:space="preserve">BURGES A LE MONTE REV TRUS</t>
  </si>
  <si>
    <t xml:space="preserve">0004121029</t>
  </si>
  <si>
    <t xml:space="preserve">BARBARA KUZMICH REVOCABLE</t>
  </si>
  <si>
    <t xml:space="preserve">0010033124</t>
  </si>
  <si>
    <t xml:space="preserve">MIKLAS JAMES MIKLAS ANN</t>
  </si>
  <si>
    <t xml:space="preserve">1085 GULF OF MEXICO DR #60</t>
  </si>
  <si>
    <t xml:space="preserve">0004121020</t>
  </si>
  <si>
    <t xml:space="preserve">HULLINGER MARK M</t>
  </si>
  <si>
    <t xml:space="preserve">0008141061</t>
  </si>
  <si>
    <t xml:space="preserve">SCHWARTZ ANDREW C (TTEE) L</t>
  </si>
  <si>
    <t xml:space="preserve">0013044006</t>
  </si>
  <si>
    <t xml:space="preserve">BAYLIN MICHAEL A BAYLIN JU</t>
  </si>
  <si>
    <t xml:space="preserve">0007101028</t>
  </si>
  <si>
    <t xml:space="preserve">JO ANNE ALTIZER WHITE REVO</t>
  </si>
  <si>
    <t xml:space="preserve">0021150001</t>
  </si>
  <si>
    <t xml:space="preserve">MURRAY PLACE DEVELOPMENT I</t>
  </si>
  <si>
    <t xml:space="preserve">0013044028</t>
  </si>
  <si>
    <t xml:space="preserve">BENTSON DAVID G BENTSON PA</t>
  </si>
  <si>
    <t xml:space="preserve">100 SANDS POINT RD #203</t>
  </si>
  <si>
    <t xml:space="preserve">PORTFOLIO TOTAL</t>
  </si>
  <si>
    <t xml:space="preserve">Notes</t>
  </si>
  <si>
    <t xml:space="preserve">Ranks 26 and 27 (0003080023, 0009044018) were recovered from the certificate file on 9 Sep 2026.</t>
  </si>
  <si>
    <t xml:space="preserve">Six parcels carry no owner in the engine — not a transcription gap. Property Appraiser fetch likely failed; a re-scan is warranted.</t>
  </si>
  <si>
    <t xml:space="preserve">Scores for 0010060014, 0010062021 and 0010100010 were corrected against the engine; an earlier hand transcription had them at 1.0, 2.4 and 1.0.</t>
  </si>
  <si>
    <t xml:space="preserve">Situs is populated for the 21 parcels captured directly from the engine shell. Remaining addresses are available in results.json.</t>
  </si>
  <si>
    <t xml:space="preserve">Top Targets — callable owners by dollars owed</t>
  </si>
  <si>
    <t xml:space="preserve">Entity owners (LLCs and condominium corporations) and parcels with no owner on file are excluded — they are not call targets. Sorted by balance, not by score; see Summary for why.</t>
  </si>
  <si>
    <t xml:space="preserve">Call Rank</t>
  </si>
  <si>
    <t xml:space="preserve">SUBTOTAL — TOP 30</t>
  </si>
</sst>
</file>

<file path=xl/styles.xml><?xml version="1.0" encoding="utf-8"?>
<styleSheet xmlns="http://schemas.openxmlformats.org/spreadsheetml/2006/main">
  <numFmts count="4">
    <numFmt numFmtId="164" formatCode="General"/>
    <numFmt numFmtId="165" formatCode="General"/>
    <numFmt numFmtId="166" formatCode="\$#,##0.00"/>
    <numFmt numFmtId="167" formatCode="0.0"/>
  </numFmts>
  <fonts count="24">
    <font>
      <sz val="11"/>
      <color theme="1"/>
      <name val="Calibri"/>
      <family val="2"/>
      <charset val="1"/>
    </font>
    <font>
      <sz val="10"/>
      <name val="Arial"/>
      <family val="0"/>
    </font>
    <font>
      <sz val="10"/>
      <name val="Arial"/>
      <family val="0"/>
    </font>
    <font>
      <sz val="10"/>
      <name val="Arial"/>
      <family val="0"/>
    </font>
    <font>
      <b val="true"/>
      <sz val="26"/>
      <color rgb="FFC8A96A"/>
      <name val="Times New Roman"/>
      <family val="0"/>
      <charset val="1"/>
    </font>
    <font>
      <i val="true"/>
      <sz val="10"/>
      <color rgb="FFC9C4BA"/>
      <name val="Arial"/>
      <family val="0"/>
      <charset val="1"/>
    </font>
    <font>
      <b val="true"/>
      <sz val="22"/>
      <color rgb="FF0A0A0A"/>
      <name val="Times New Roman"/>
      <family val="0"/>
      <charset val="1"/>
    </font>
    <font>
      <sz val="11"/>
      <color rgb="FF6B6B6B"/>
      <name val="Arial"/>
      <family val="0"/>
      <charset val="1"/>
    </font>
    <font>
      <b val="true"/>
      <sz val="9"/>
      <color rgb="FF8C7440"/>
      <name val="Arial"/>
      <family val="0"/>
      <charset val="1"/>
    </font>
    <font>
      <sz val="10"/>
      <color rgb="FF0A0A0A"/>
      <name val="Arial"/>
      <family val="0"/>
      <charset val="1"/>
    </font>
    <font>
      <b val="true"/>
      <sz val="13"/>
      <color rgb="FF0A0A0A"/>
      <name val="Times New Roman"/>
      <family val="0"/>
      <charset val="1"/>
    </font>
    <font>
      <b val="true"/>
      <sz val="10"/>
      <color rgb="FF0A0A0A"/>
      <name val="Arial"/>
      <family val="0"/>
      <charset val="1"/>
    </font>
    <font>
      <i val="true"/>
      <sz val="9"/>
      <color rgb="FF6B6B6B"/>
      <name val="Arial"/>
      <family val="0"/>
      <charset val="1"/>
    </font>
    <font>
      <b val="true"/>
      <u val="single"/>
      <sz val="9"/>
      <color rgb="FF8C7440"/>
      <name val="Arial"/>
      <family val="0"/>
      <charset val="1"/>
    </font>
    <font>
      <sz val="9"/>
      <color rgb="FF6B6B6B"/>
      <name val="Arial"/>
      <family val="0"/>
      <charset val="1"/>
    </font>
    <font>
      <sz val="8"/>
      <color rgb="FF6B6B6B"/>
      <name val="Arial"/>
      <family val="0"/>
      <charset val="1"/>
    </font>
    <font>
      <b val="true"/>
      <sz val="8"/>
      <color rgb="FFFAF8F4"/>
      <name val="Arial"/>
      <family val="0"/>
      <charset val="1"/>
    </font>
    <font>
      <b val="true"/>
      <sz val="15"/>
      <color rgb="FFC8A96A"/>
      <name val="Times New Roman"/>
      <family val="0"/>
      <charset val="1"/>
    </font>
    <font>
      <b val="true"/>
      <sz val="12"/>
      <color rgb="FF0A0A0A"/>
      <name val="Times New Roman"/>
      <family val="0"/>
      <charset val="1"/>
    </font>
    <font>
      <b val="true"/>
      <sz val="10"/>
      <color rgb="FFFAF8F4"/>
      <name val="Arial"/>
      <family val="0"/>
      <charset val="1"/>
    </font>
    <font>
      <b val="true"/>
      <sz val="10"/>
      <color rgb="FF8C7440"/>
      <name val="Arial"/>
      <family val="0"/>
      <charset val="1"/>
    </font>
    <font>
      <sz val="10"/>
      <name val="Arial"/>
      <family val="2"/>
    </font>
    <font>
      <i val="true"/>
      <sz val="10"/>
      <color rgb="FF9B2C2C"/>
      <name val="Arial"/>
      <family val="0"/>
      <charset val="1"/>
    </font>
    <font>
      <b val="true"/>
      <sz val="10"/>
      <color rgb="FFC8A96A"/>
      <name val="Arial"/>
      <family val="0"/>
      <charset val="1"/>
    </font>
  </fonts>
  <fills count="7">
    <fill>
      <patternFill patternType="none"/>
    </fill>
    <fill>
      <patternFill patternType="gray125"/>
    </fill>
    <fill>
      <patternFill patternType="solid">
        <fgColor rgb="FF0A0A0A"/>
        <bgColor rgb="FF000000"/>
      </patternFill>
    </fill>
    <fill>
      <patternFill patternType="solid">
        <fgColor rgb="FFC8A96A"/>
        <bgColor rgb="FFC9C4BA"/>
      </patternFill>
    </fill>
    <fill>
      <patternFill patternType="solid">
        <fgColor rgb="FF1C1C1C"/>
        <bgColor rgb="FF0A0A0A"/>
      </patternFill>
    </fill>
    <fill>
      <patternFill patternType="solid">
        <fgColor rgb="FFFAF8F4"/>
        <bgColor rgb="FFF3E9D2"/>
      </patternFill>
    </fill>
    <fill>
      <patternFill patternType="solid">
        <fgColor rgb="FFF3E9D2"/>
        <bgColor rgb="FFE3DDD1"/>
      </patternFill>
    </fill>
  </fills>
  <borders count="4">
    <border diagonalUp="false" diagonalDown="false">
      <left/>
      <right/>
      <top/>
      <bottom/>
      <diagonal/>
    </border>
    <border diagonalUp="false" diagonalDown="false">
      <left/>
      <right/>
      <top/>
      <bottom style="thin">
        <color rgb="FFE3DDD1"/>
      </bottom>
      <diagonal/>
    </border>
    <border diagonalUp="false" diagonalDown="false">
      <left/>
      <right/>
      <top/>
      <bottom style="medium">
        <color rgb="FFC8A96A"/>
      </bottom>
      <diagonal/>
    </border>
    <border diagonalUp="false" diagonalDown="false">
      <left style="thin">
        <color rgb="FFD6D0C4"/>
      </left>
      <right style="thin">
        <color rgb="FFD6D0C4"/>
      </right>
      <top style="thin">
        <color rgb="FFD6D0C4"/>
      </top>
      <bottom style="thin">
        <color rgb="FFD6D0C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top"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1" shrinkToFit="false"/>
      <protection locked="true" hidden="false"/>
    </xf>
    <xf numFmtId="164" fontId="15" fillId="0" borderId="0" xfId="0" applyFont="true" applyBorder="true" applyAlignment="true" applyProtection="false">
      <alignment horizontal="general" vertical="bottom" textRotation="0" wrapText="false" indent="1" shrinkToFit="false"/>
      <protection locked="true" hidden="false"/>
    </xf>
    <xf numFmtId="164" fontId="16" fillId="2" borderId="0" xfId="0" applyFont="true" applyBorder="true" applyAlignment="true" applyProtection="false">
      <alignment horizontal="center" vertical="center" textRotation="0" wrapText="false" indent="0" shrinkToFit="false"/>
      <protection locked="true" hidden="false"/>
    </xf>
    <xf numFmtId="164" fontId="17" fillId="2" borderId="0" xfId="0" applyFont="true" applyBorder="true" applyAlignment="true" applyProtection="false">
      <alignment horizontal="general" vertical="center" textRotation="0" wrapText="false" indent="1" shrinkToFit="false"/>
      <protection locked="true" hidden="false"/>
    </xf>
    <xf numFmtId="164" fontId="18" fillId="0" borderId="0" xfId="0" applyFont="true" applyBorder="true" applyAlignment="true" applyProtection="false">
      <alignment horizontal="general" vertical="center" textRotation="0" wrapText="false" indent="1" shrinkToFit="false"/>
      <protection locked="true" hidden="false"/>
    </xf>
    <xf numFmtId="164" fontId="19" fillId="4" borderId="2" xfId="0" applyFont="true" applyBorder="true" applyAlignment="true" applyProtection="false">
      <alignment horizontal="general" vertical="center" textRotation="0" wrapText="false" indent="1" shrinkToFit="false"/>
      <protection locked="true" hidden="false"/>
    </xf>
    <xf numFmtId="164" fontId="9" fillId="0" borderId="1" xfId="0" applyFont="true" applyBorder="true" applyAlignment="true" applyProtection="false">
      <alignment horizontal="general" vertical="bottom" textRotation="0" wrapText="false" indent="1"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1" shrinkToFit="false"/>
      <protection locked="true" hidden="false"/>
    </xf>
    <xf numFmtId="166" fontId="20"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1"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9" fillId="4" borderId="2" xfId="0" applyFont="true" applyBorder="true" applyAlignment="true" applyProtection="false">
      <alignment horizontal="center" vertical="center" textRotation="0" wrapText="false" indent="0" shrinkToFit="false"/>
      <protection locked="true" hidden="false"/>
    </xf>
    <xf numFmtId="164" fontId="9" fillId="0" borderId="3" xfId="0" applyFont="true" applyBorder="true" applyAlignment="true" applyProtection="false">
      <alignment horizontal="center" vertical="bottom" textRotation="0" wrapText="false" indent="0" shrinkToFit="false"/>
      <protection locked="true" hidden="false"/>
    </xf>
    <xf numFmtId="164" fontId="9" fillId="0" borderId="3" xfId="0" applyFont="true" applyBorder="true" applyAlignment="false" applyProtection="false">
      <alignment horizontal="general" vertical="bottom" textRotation="0" wrapText="false" indent="0" shrinkToFit="false"/>
      <protection locked="true" hidden="false"/>
    </xf>
    <xf numFmtId="166" fontId="9" fillId="0" borderId="3" xfId="0" applyFont="true" applyBorder="true" applyAlignment="false" applyProtection="false">
      <alignment horizontal="general" vertical="bottom" textRotation="0" wrapText="false" indent="0" shrinkToFit="false"/>
      <protection locked="true" hidden="false"/>
    </xf>
    <xf numFmtId="167" fontId="9" fillId="0" borderId="3" xfId="0" applyFont="true" applyBorder="true" applyAlignment="true" applyProtection="false">
      <alignment horizontal="center" vertical="bottom" textRotation="0" wrapText="false" indent="0" shrinkToFit="false"/>
      <protection locked="true" hidden="false"/>
    </xf>
    <xf numFmtId="164" fontId="9" fillId="5" borderId="3" xfId="0" applyFont="true" applyBorder="true" applyAlignment="true" applyProtection="false">
      <alignment horizontal="center" vertical="bottom" textRotation="0" wrapText="false" indent="0" shrinkToFit="false"/>
      <protection locked="true" hidden="false"/>
    </xf>
    <xf numFmtId="164" fontId="9" fillId="5" borderId="3" xfId="0" applyFont="true" applyBorder="true" applyAlignment="false" applyProtection="false">
      <alignment horizontal="general" vertical="bottom" textRotation="0" wrapText="false" indent="0" shrinkToFit="false"/>
      <protection locked="true" hidden="false"/>
    </xf>
    <xf numFmtId="166" fontId="9" fillId="5" borderId="3" xfId="0" applyFont="true" applyBorder="true" applyAlignment="false" applyProtection="false">
      <alignment horizontal="general" vertical="bottom" textRotation="0" wrapText="false" indent="0" shrinkToFit="false"/>
      <protection locked="true" hidden="false"/>
    </xf>
    <xf numFmtId="167" fontId="9" fillId="5" borderId="3" xfId="0" applyFont="true" applyBorder="true" applyAlignment="true" applyProtection="false">
      <alignment horizontal="center" vertical="bottom" textRotation="0" wrapText="false" indent="0" shrinkToFit="false"/>
      <protection locked="true" hidden="false"/>
    </xf>
    <xf numFmtId="164" fontId="9" fillId="6" borderId="3" xfId="0" applyFont="true" applyBorder="true" applyAlignment="true" applyProtection="false">
      <alignment horizontal="center" vertical="bottom" textRotation="0" wrapText="false" indent="0" shrinkToFit="false"/>
      <protection locked="true" hidden="false"/>
    </xf>
    <xf numFmtId="164" fontId="9" fillId="6" borderId="3" xfId="0" applyFont="true" applyBorder="true" applyAlignment="false" applyProtection="false">
      <alignment horizontal="general" vertical="bottom" textRotation="0" wrapText="false" indent="0" shrinkToFit="false"/>
      <protection locked="true" hidden="false"/>
    </xf>
    <xf numFmtId="166" fontId="9" fillId="6" borderId="3" xfId="0" applyFont="true" applyBorder="true" applyAlignment="false" applyProtection="false">
      <alignment horizontal="general" vertical="bottom" textRotation="0" wrapText="false" indent="0" shrinkToFit="false"/>
      <protection locked="true" hidden="false"/>
    </xf>
    <xf numFmtId="167" fontId="9" fillId="6" borderId="3" xfId="0" applyFont="true" applyBorder="true" applyAlignment="true" applyProtection="false">
      <alignment horizontal="center" vertical="bottom" textRotation="0" wrapText="false" indent="0" shrinkToFit="false"/>
      <protection locked="true" hidden="false"/>
    </xf>
    <xf numFmtId="164" fontId="20" fillId="6" borderId="3" xfId="0" applyFont="true" applyBorder="true" applyAlignment="true" applyProtection="false">
      <alignment horizontal="center" vertical="bottom" textRotation="0" wrapText="false" indent="0" shrinkToFit="false"/>
      <protection locked="true" hidden="false"/>
    </xf>
    <xf numFmtId="164" fontId="22" fillId="5" borderId="3" xfId="0" applyFont="true" applyBorder="true" applyAlignment="false" applyProtection="false">
      <alignment horizontal="general" vertical="bottom" textRotation="0" wrapText="false" indent="0" shrinkToFit="false"/>
      <protection locked="true" hidden="false"/>
    </xf>
    <xf numFmtId="164" fontId="22" fillId="0" borderId="3" xfId="0" applyFont="true" applyBorder="tru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9" fillId="4" borderId="0" xfId="0" applyFont="true" applyBorder="false" applyAlignment="false" applyProtection="false">
      <alignment horizontal="general" vertical="bottom" textRotation="0" wrapText="false" indent="0" shrinkToFit="false"/>
      <protection locked="true" hidden="false"/>
    </xf>
    <xf numFmtId="166" fontId="23" fillId="4"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C1C1C"/>
          <bgColor rgb="FF000000"/>
        </patternFill>
      </fill>
    </dxf>
    <dxf>
      <fill>
        <patternFill patternType="solid">
          <fgColor rgb="FFF3E9D2"/>
          <bgColor rgb="FF000000"/>
        </patternFill>
      </fill>
    </dxf>
    <dxf>
      <fill>
        <patternFill patternType="solid">
          <fgColor rgb="FFFAF8F4"/>
          <bgColor rgb="FF000000"/>
        </patternFill>
      </fill>
    </dxf>
    <dxf>
      <fill>
        <patternFill patternType="solid">
          <bgColor rgb="FF000000"/>
        </patternFill>
      </fill>
    </dxf>
    <dxf>
      <fill>
        <patternFill patternType="solid">
          <fgColor rgb="FF0A0A0A"/>
          <bgColor rgb="FF000000"/>
        </patternFill>
      </fill>
    </dxf>
    <dxf>
      <fill>
        <patternFill patternType="solid">
          <fgColor rgb="FF9B2C2C"/>
          <bgColor rgb="FF000000"/>
        </patternFill>
      </fill>
    </dxf>
    <dxf>
      <fill>
        <patternFill patternType="solid">
          <fgColor rgb="FF8C7440"/>
          <bgColor rgb="FF000000"/>
        </patternFill>
      </fill>
    </dxf>
  </dxfs>
  <colors>
    <indexedColors>
      <rgbColor rgb="FF000000"/>
      <rgbColor rgb="FFFAF8F4"/>
      <rgbColor rgb="FFFF0000"/>
      <rgbColor rgb="FF00FF00"/>
      <rgbColor rgb="FF0000FF"/>
      <rgbColor rgb="FFFFFF00"/>
      <rgbColor rgb="FFFF00FF"/>
      <rgbColor rgb="FF00FFFF"/>
      <rgbColor rgb="FF800000"/>
      <rgbColor rgb="FF008000"/>
      <rgbColor rgb="FF000080"/>
      <rgbColor rgb="FF8C7440"/>
      <rgbColor rgb="FF800080"/>
      <rgbColor rgb="FF008080"/>
      <rgbColor rgb="FFC9C4BA"/>
      <rgbColor rgb="FF808080"/>
      <rgbColor rgb="FF9999FF"/>
      <rgbColor rgb="FF993366"/>
      <rgbColor rgb="FFF3E9D2"/>
      <rgbColor rgb="FFCCFFFF"/>
      <rgbColor rgb="FF660066"/>
      <rgbColor rgb="FFFF8080"/>
      <rgbColor rgb="FF0066CC"/>
      <rgbColor rgb="FFD6D0C4"/>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E3DDD1"/>
      <rgbColor rgb="FF3366FF"/>
      <rgbColor rgb="FF33CCCC"/>
      <rgbColor rgb="FF99CC00"/>
      <rgbColor rgb="FFFFCC00"/>
      <rgbColor rgb="FFFF9900"/>
      <rgbColor rgb="FFFF6600"/>
      <rgbColor rgb="FF6B6B6B"/>
      <rgbColor rgb="FFC8A96A"/>
      <rgbColor rgb="FF003366"/>
      <rgbColor rgb="FF339966"/>
      <rgbColor rgb="FF0A0A0A"/>
      <rgbColor rgb="FF333300"/>
      <rgbColor rgb="FF9B2C2C"/>
      <rgbColor rgb="FF993366"/>
      <rgbColor rgb="FF333399"/>
      <rgbColor rgb="FF1C1C1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bicrea.com/" TargetMode="External"/><Relationship Id="rId2" Type="http://schemas.openxmlformats.org/officeDocument/2006/relationships/hyperlink" Target="tel:+13109631569"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A0A0A"/>
    <pageSetUpPr fitToPage="true"/>
  </sheetPr>
  <dimension ref="A1:H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7" min="3" style="0" width="18"/>
    <col collapsed="false" customWidth="true" hidden="false" outlineLevel="0" max="8" min="8" style="0" width="4"/>
  </cols>
  <sheetData>
    <row r="1" customFormat="false" ht="15" hidden="false" customHeight="false" outlineLevel="0" collapsed="false">
      <c r="A1" s="1"/>
      <c r="B1" s="1"/>
      <c r="C1" s="1"/>
      <c r="D1" s="1"/>
      <c r="E1" s="1"/>
      <c r="F1" s="1"/>
      <c r="G1" s="1"/>
      <c r="H1" s="1"/>
    </row>
    <row r="2" customFormat="false" ht="15" hidden="false" customHeight="false" outlineLevel="0" collapsed="false">
      <c r="A2" s="1"/>
      <c r="B2" s="1"/>
      <c r="C2" s="1"/>
      <c r="D2" s="1"/>
      <c r="E2" s="1"/>
      <c r="F2" s="1"/>
      <c r="G2" s="1"/>
      <c r="H2" s="1"/>
    </row>
    <row r="3" customFormat="false" ht="37.5" hidden="false" customHeight="true" outlineLevel="0" collapsed="false">
      <c r="A3" s="1"/>
      <c r="B3" s="2" t="s">
        <v>0</v>
      </c>
      <c r="C3" s="2"/>
      <c r="D3" s="2"/>
      <c r="E3" s="2"/>
      <c r="F3" s="2"/>
      <c r="G3" s="2"/>
      <c r="H3" s="1"/>
    </row>
    <row r="4" customFormat="false" ht="15" hidden="false" customHeight="false" outlineLevel="0" collapsed="false">
      <c r="A4" s="1"/>
      <c r="B4" s="1"/>
      <c r="C4" s="1"/>
      <c r="D4" s="1"/>
      <c r="E4" s="1"/>
      <c r="F4" s="1"/>
      <c r="G4" s="1"/>
      <c r="H4" s="1"/>
    </row>
    <row r="5" customFormat="false" ht="15" hidden="false" customHeight="true" outlineLevel="0" collapsed="false">
      <c r="A5" s="1"/>
      <c r="B5" s="3" t="s">
        <v>1</v>
      </c>
      <c r="C5" s="3"/>
      <c r="D5" s="3"/>
      <c r="E5" s="3"/>
      <c r="F5" s="3"/>
      <c r="G5" s="3"/>
      <c r="H5" s="1"/>
    </row>
    <row r="6" customFormat="false" ht="15" hidden="false" customHeight="false" outlineLevel="0" collapsed="false">
      <c r="A6" s="1"/>
      <c r="B6" s="3"/>
      <c r="C6" s="3"/>
      <c r="D6" s="3"/>
      <c r="E6" s="3"/>
      <c r="F6" s="3"/>
      <c r="G6" s="3"/>
      <c r="H6" s="1"/>
    </row>
    <row r="7" customFormat="false" ht="15" hidden="false" customHeight="false" outlineLevel="0" collapsed="false">
      <c r="A7" s="1"/>
      <c r="B7" s="1"/>
      <c r="C7" s="1"/>
      <c r="D7" s="1"/>
      <c r="E7" s="1"/>
      <c r="F7" s="1"/>
      <c r="G7" s="1"/>
      <c r="H7" s="1"/>
    </row>
    <row r="8" customFormat="false" ht="15" hidden="false" customHeight="false" outlineLevel="0" collapsed="false">
      <c r="A8" s="1"/>
      <c r="B8" s="1"/>
      <c r="C8" s="1"/>
      <c r="D8" s="1"/>
      <c r="E8" s="1"/>
      <c r="F8" s="1"/>
      <c r="G8" s="1"/>
      <c r="H8" s="1"/>
    </row>
    <row r="9" customFormat="false" ht="3.75" hidden="false" customHeight="true" outlineLevel="0" collapsed="false">
      <c r="A9" s="4"/>
      <c r="B9" s="4"/>
      <c r="C9" s="4"/>
      <c r="D9" s="4"/>
      <c r="E9" s="4"/>
      <c r="F9" s="4"/>
      <c r="G9" s="4"/>
      <c r="H9" s="4"/>
    </row>
    <row r="12" customFormat="false" ht="31.5" hidden="false" customHeight="true" outlineLevel="0" collapsed="false">
      <c r="B12" s="5" t="s">
        <v>2</v>
      </c>
      <c r="C12" s="5"/>
      <c r="D12" s="5"/>
      <c r="E12" s="5"/>
      <c r="F12" s="5"/>
      <c r="G12" s="5"/>
    </row>
    <row r="13" customFormat="false" ht="15" hidden="false" customHeight="false" outlineLevel="0" collapsed="false">
      <c r="B13" s="6" t="s">
        <v>3</v>
      </c>
      <c r="C13" s="6"/>
      <c r="D13" s="6"/>
      <c r="E13" s="6"/>
      <c r="F13" s="6"/>
      <c r="G13" s="6"/>
    </row>
    <row r="16" customFormat="false" ht="19.5" hidden="false" customHeight="true" outlineLevel="0" collapsed="false">
      <c r="B16" s="7" t="s">
        <v>4</v>
      </c>
      <c r="C16" s="8" t="s">
        <v>5</v>
      </c>
      <c r="D16" s="8"/>
      <c r="E16" s="8"/>
      <c r="F16" s="8"/>
      <c r="G16" s="8"/>
    </row>
    <row r="17" customFormat="false" ht="19.5" hidden="false" customHeight="true" outlineLevel="0" collapsed="false">
      <c r="B17" s="7" t="s">
        <v>6</v>
      </c>
      <c r="C17" s="8" t="s">
        <v>7</v>
      </c>
      <c r="D17" s="8"/>
      <c r="E17" s="8"/>
      <c r="F17" s="8"/>
      <c r="G17" s="8"/>
    </row>
    <row r="18" customFormat="false" ht="19.5" hidden="false" customHeight="true" outlineLevel="0" collapsed="false">
      <c r="B18" s="7" t="s">
        <v>8</v>
      </c>
      <c r="C18" s="8" t="s">
        <v>9</v>
      </c>
      <c r="D18" s="8"/>
      <c r="E18" s="8"/>
      <c r="F18" s="8"/>
      <c r="G18" s="8"/>
    </row>
    <row r="19" customFormat="false" ht="19.5" hidden="false" customHeight="true" outlineLevel="0" collapsed="false">
      <c r="B19" s="7" t="s">
        <v>10</v>
      </c>
      <c r="C19" s="8" t="s">
        <v>11</v>
      </c>
      <c r="D19" s="8"/>
      <c r="E19" s="8"/>
      <c r="F19" s="8"/>
      <c r="G19" s="8"/>
    </row>
    <row r="20" customFormat="false" ht="19.5" hidden="false" customHeight="true" outlineLevel="0" collapsed="false">
      <c r="B20" s="7" t="s">
        <v>12</v>
      </c>
      <c r="C20" s="8" t="s">
        <v>13</v>
      </c>
      <c r="D20" s="8"/>
      <c r="E20" s="8"/>
      <c r="F20" s="8"/>
      <c r="G20" s="8"/>
    </row>
    <row r="21" customFormat="false" ht="19.5" hidden="false" customHeight="true" outlineLevel="0" collapsed="false">
      <c r="B21" s="7" t="s">
        <v>14</v>
      </c>
      <c r="C21" s="8" t="s">
        <v>15</v>
      </c>
      <c r="D21" s="8"/>
      <c r="E21" s="8"/>
      <c r="F21" s="8"/>
      <c r="G21" s="8"/>
    </row>
    <row r="22" customFormat="false" ht="19.5" hidden="false" customHeight="true" outlineLevel="0" collapsed="false">
      <c r="B22" s="7" t="s">
        <v>16</v>
      </c>
      <c r="C22" s="8" t="s">
        <v>17</v>
      </c>
      <c r="D22" s="8"/>
      <c r="E22" s="8"/>
      <c r="F22" s="8"/>
      <c r="G22" s="8"/>
    </row>
    <row r="23" customFormat="false" ht="19.5" hidden="false" customHeight="true" outlineLevel="0" collapsed="false">
      <c r="B23" s="7" t="s">
        <v>18</v>
      </c>
      <c r="C23" s="8" t="s">
        <v>19</v>
      </c>
      <c r="D23" s="8"/>
      <c r="E23" s="8"/>
      <c r="F23" s="8"/>
      <c r="G23" s="8"/>
    </row>
    <row r="26" customFormat="false" ht="16.15" hidden="false" customHeight="false" outlineLevel="0" collapsed="false">
      <c r="B26" s="9" t="s">
        <v>20</v>
      </c>
      <c r="C26" s="9"/>
      <c r="D26" s="9"/>
      <c r="E26" s="9"/>
      <c r="F26" s="9"/>
      <c r="G26" s="9"/>
    </row>
    <row r="27" customFormat="false" ht="15" hidden="false" customHeight="false" outlineLevel="0" collapsed="false">
      <c r="B27" s="10" t="s">
        <v>21</v>
      </c>
      <c r="C27" s="11" t="s">
        <v>22</v>
      </c>
      <c r="D27" s="11"/>
      <c r="E27" s="11"/>
      <c r="F27" s="11"/>
      <c r="G27" s="11"/>
    </row>
    <row r="28" customFormat="false" ht="15" hidden="false" customHeight="false" outlineLevel="0" collapsed="false">
      <c r="B28" s="10" t="s">
        <v>23</v>
      </c>
      <c r="C28" s="11" t="s">
        <v>24</v>
      </c>
      <c r="D28" s="11"/>
      <c r="E28" s="11"/>
      <c r="F28" s="11"/>
      <c r="G28" s="11"/>
    </row>
    <row r="29" customFormat="false" ht="15" hidden="false" customHeight="false" outlineLevel="0" collapsed="false">
      <c r="B29" s="10" t="s">
        <v>25</v>
      </c>
      <c r="C29" s="11" t="s">
        <v>26</v>
      </c>
      <c r="D29" s="11"/>
      <c r="E29" s="11"/>
      <c r="F29" s="11"/>
      <c r="G29" s="11"/>
    </row>
    <row r="30" customFormat="false" ht="15" hidden="false" customHeight="false" outlineLevel="0" collapsed="false">
      <c r="B30" s="12" t="s">
        <v>27</v>
      </c>
      <c r="C30" s="13" t="s">
        <v>28</v>
      </c>
    </row>
    <row r="31" customFormat="false" ht="3" hidden="false" customHeight="true" outlineLevel="0" collapsed="false">
      <c r="A31" s="14"/>
      <c r="B31" s="14"/>
      <c r="C31" s="14"/>
      <c r="D31" s="14"/>
      <c r="E31" s="14"/>
      <c r="F31" s="14"/>
      <c r="G31" s="14"/>
      <c r="H31" s="14"/>
    </row>
    <row r="32" customFormat="false" ht="15" hidden="false" customHeight="true" outlineLevel="0" collapsed="false">
      <c r="A32" s="15" t="s">
        <v>29</v>
      </c>
      <c r="B32" s="15"/>
      <c r="C32" s="15"/>
      <c r="D32" s="15"/>
      <c r="E32" s="15"/>
      <c r="F32" s="15"/>
      <c r="G32" s="15"/>
      <c r="H32" s="15"/>
    </row>
    <row r="33" customFormat="false" ht="15" hidden="false" customHeight="false" outlineLevel="0" collapsed="false">
      <c r="A33" s="15"/>
      <c r="B33" s="15"/>
      <c r="C33" s="15"/>
      <c r="D33" s="15"/>
      <c r="E33" s="15"/>
      <c r="F33" s="15"/>
      <c r="G33" s="15"/>
      <c r="H33" s="15"/>
    </row>
    <row r="34" customFormat="false" ht="15" hidden="false" customHeight="false" outlineLevel="0" collapsed="false">
      <c r="A34" s="16" t="s">
        <v>30</v>
      </c>
      <c r="B34" s="16"/>
      <c r="C34" s="16"/>
      <c r="D34" s="16"/>
      <c r="E34" s="16"/>
      <c r="F34" s="16"/>
      <c r="G34" s="16"/>
      <c r="H34" s="16"/>
    </row>
    <row r="36" customFormat="false" ht="15" hidden="false" customHeight="false" outlineLevel="0" collapsed="false">
      <c r="A36" s="17" t="s">
        <v>31</v>
      </c>
      <c r="B36" s="17"/>
      <c r="C36" s="17"/>
      <c r="D36" s="17"/>
      <c r="E36" s="17"/>
      <c r="F36" s="17"/>
      <c r="G36" s="17"/>
      <c r="H36" s="17"/>
    </row>
  </sheetData>
  <mergeCells count="20">
    <mergeCell ref="B3:G3"/>
    <mergeCell ref="B5:G6"/>
    <mergeCell ref="B12:G12"/>
    <mergeCell ref="B13:G13"/>
    <mergeCell ref="C16:G16"/>
    <mergeCell ref="C17:G17"/>
    <mergeCell ref="C18:G18"/>
    <mergeCell ref="C19:G19"/>
    <mergeCell ref="C20:G20"/>
    <mergeCell ref="C21:G21"/>
    <mergeCell ref="C22:G22"/>
    <mergeCell ref="C23:G23"/>
    <mergeCell ref="B26:G26"/>
    <mergeCell ref="C27:G27"/>
    <mergeCell ref="C28:G28"/>
    <mergeCell ref="C29:G29"/>
    <mergeCell ref="A31:H31"/>
    <mergeCell ref="A32:H33"/>
    <mergeCell ref="A34:H34"/>
    <mergeCell ref="A36:H36"/>
  </mergeCells>
  <hyperlinks>
    <hyperlink ref="B30" r:id="rId1" display="bicrea.com"/>
    <hyperlink ref="C30" r:id="rId2" display="+1 (310) 963-1569"/>
  </hyperlinks>
  <printOptions headings="false" gridLines="false" gridLinesSet="true" horizontalCentered="false" verticalCentered="false"/>
  <pageMargins left="0.75" right="0.75" top="1" bottom="1" header="0.5" footer="0.5"/>
  <pageSetup paperSize="1" scale="100" fitToWidth="1" fitToHeight="0" pageOrder="downThenOver" orientation="portrait" blackAndWhite="false" draft="false" cellComments="none" horizontalDpi="300" verticalDpi="300" copies="1"/>
  <headerFooter differentFirst="false" differentOddEven="false">
    <oddHeader>&amp;L&amp;8 &amp;K8c7440BIC REA LLC&amp;R&amp;8 &amp;K8c7440Tax Delinquency Watchlist · 9 Sep 2026</oddHeader>
    <oddFooter>&amp;L&amp;8 &amp;K6b6b6bConfidential — internal working document&amp;R&amp;8 &amp;K6b6b6bPage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C7440"/>
    <pageSetUpPr fitToPage="true"/>
  </sheetPr>
  <dimension ref="A1:F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0"/>
    <col collapsed="false" customWidth="true" hidden="false" outlineLevel="0" max="6" min="3" style="0" width="14"/>
  </cols>
  <sheetData>
    <row r="1" customFormat="false" ht="30" hidden="false" customHeight="true" outlineLevel="0" collapsed="false">
      <c r="A1" s="18" t="s">
        <v>0</v>
      </c>
      <c r="B1" s="18"/>
      <c r="C1" s="18"/>
      <c r="D1" s="18"/>
      <c r="E1" s="18"/>
      <c r="F1" s="18"/>
    </row>
    <row r="2" customFormat="false" ht="3" hidden="false" customHeight="true" outlineLevel="0" collapsed="false">
      <c r="A2" s="4"/>
      <c r="B2" s="4"/>
      <c r="C2" s="4"/>
      <c r="D2" s="4"/>
      <c r="E2" s="4"/>
      <c r="F2" s="4"/>
    </row>
    <row r="3" customFormat="false" ht="21.75" hidden="false" customHeight="true" outlineLevel="0" collapsed="false">
      <c r="A3" s="19" t="s">
        <v>32</v>
      </c>
      <c r="B3" s="19"/>
      <c r="C3" s="19"/>
      <c r="D3" s="19"/>
      <c r="E3" s="19"/>
      <c r="F3" s="19"/>
    </row>
    <row r="4" customFormat="false" ht="15" hidden="false" customHeight="false" outlineLevel="0" collapsed="false">
      <c r="A4" s="11" t="s">
        <v>33</v>
      </c>
      <c r="B4" s="11"/>
      <c r="C4" s="11"/>
      <c r="D4" s="11"/>
      <c r="E4" s="11"/>
      <c r="F4" s="11"/>
    </row>
    <row r="6" customFormat="false" ht="18.75" hidden="false" customHeight="true" outlineLevel="0" collapsed="false">
      <c r="A6" s="20" t="s">
        <v>34</v>
      </c>
      <c r="B6" s="20"/>
      <c r="C6" s="20"/>
    </row>
    <row r="7" customFormat="false" ht="15" hidden="false" customHeight="false" outlineLevel="0" collapsed="false">
      <c r="A7" s="21" t="s">
        <v>12</v>
      </c>
      <c r="B7" s="22" t="n">
        <f aca="false">COUNTA('All Parcels'!B8:B107)</f>
        <v>100</v>
      </c>
      <c r="C7" s="23"/>
    </row>
    <row r="8" customFormat="false" ht="15" hidden="false" customHeight="false" outlineLevel="0" collapsed="false">
      <c r="A8" s="24" t="s">
        <v>35</v>
      </c>
      <c r="B8" s="25" t="n">
        <f aca="false">SUM('All Parcels'!C8:C107)</f>
        <v>2644316.64</v>
      </c>
      <c r="C8" s="23"/>
    </row>
    <row r="9" customFormat="false" ht="15" hidden="false" customHeight="false" outlineLevel="0" collapsed="false">
      <c r="A9" s="21" t="s">
        <v>36</v>
      </c>
      <c r="B9" s="26" t="n">
        <f aca="false">AVERAGE('All Parcels'!C8:C107)</f>
        <v>26443.1664</v>
      </c>
      <c r="C9" s="23"/>
    </row>
    <row r="10" customFormat="false" ht="15" hidden="false" customHeight="false" outlineLevel="0" collapsed="false">
      <c r="A10" s="21" t="s">
        <v>37</v>
      </c>
      <c r="B10" s="26" t="n">
        <f aca="false">MEDIAN('All Parcels'!C8:C107)</f>
        <v>17391.085</v>
      </c>
      <c r="C10" s="23"/>
    </row>
    <row r="11" customFormat="false" ht="15" hidden="false" customHeight="false" outlineLevel="0" collapsed="false">
      <c r="A11" s="21" t="s">
        <v>38</v>
      </c>
      <c r="B11" s="26" t="n">
        <f aca="false">MAX('All Parcels'!C8:C107)</f>
        <v>159963.48</v>
      </c>
      <c r="C11" s="23"/>
    </row>
    <row r="12" customFormat="false" ht="15" hidden="false" customHeight="false" outlineLevel="0" collapsed="false">
      <c r="A12" s="21" t="s">
        <v>39</v>
      </c>
      <c r="B12" s="26" t="n">
        <f aca="false">MIN('All Parcels'!C8:C107)</f>
        <v>9737.29</v>
      </c>
      <c r="C12" s="23"/>
    </row>
    <row r="14" customFormat="false" ht="18.75" hidden="false" customHeight="true" outlineLevel="0" collapsed="false">
      <c r="A14" s="20" t="s">
        <v>40</v>
      </c>
      <c r="B14" s="20"/>
      <c r="C14" s="20"/>
    </row>
    <row r="15" customFormat="false" ht="15" hidden="false" customHeight="false" outlineLevel="0" collapsed="false">
      <c r="A15" s="21" t="s">
        <v>41</v>
      </c>
      <c r="B15" s="22" t="n">
        <f aca="false">COUNTIF('All Parcels'!C8:C107,"&gt;20000")</f>
        <v>41</v>
      </c>
      <c r="C15" s="23"/>
    </row>
    <row r="16" customFormat="false" ht="15" hidden="false" customHeight="false" outlineLevel="0" collapsed="false">
      <c r="A16" s="21" t="s">
        <v>42</v>
      </c>
      <c r="B16" s="22" t="n">
        <f aca="false">COUNTIF('All Parcels'!C8:C107,"&gt;15000")</f>
        <v>59</v>
      </c>
      <c r="C16" s="23"/>
    </row>
    <row r="17" customFormat="false" ht="15" hidden="false" customHeight="false" outlineLevel="0" collapsed="false">
      <c r="A17" s="21" t="s">
        <v>43</v>
      </c>
      <c r="B17" s="22" t="n">
        <f aca="false">COUNTIF('All Parcels'!C8:C107,"&gt;10000")</f>
        <v>93</v>
      </c>
      <c r="C17" s="23"/>
    </row>
    <row r="19" customFormat="false" ht="18.75" hidden="false" customHeight="true" outlineLevel="0" collapsed="false">
      <c r="A19" s="20" t="s">
        <v>44</v>
      </c>
      <c r="B19" s="20"/>
      <c r="C19" s="20"/>
    </row>
    <row r="20" customFormat="false" ht="15" hidden="false" customHeight="false" outlineLevel="0" collapsed="false">
      <c r="A20" s="21" t="s">
        <v>45</v>
      </c>
      <c r="B20" s="22" t="n">
        <f aca="false">COUNTIF('All Parcels'!G8:G107,"WARM")</f>
        <v>12</v>
      </c>
      <c r="C20" s="23"/>
    </row>
    <row r="21" customFormat="false" ht="15" hidden="false" customHeight="false" outlineLevel="0" collapsed="false">
      <c r="A21" s="21" t="s">
        <v>46</v>
      </c>
      <c r="B21" s="22" t="n">
        <f aca="false">COUNTIF('All Parcels'!G8:G107,"WATCH")</f>
        <v>88</v>
      </c>
      <c r="C21" s="23"/>
    </row>
    <row r="23" customFormat="false" ht="18.75" hidden="false" customHeight="true" outlineLevel="0" collapsed="false">
      <c r="A23" s="20" t="s">
        <v>47</v>
      </c>
      <c r="B23" s="20"/>
      <c r="C23" s="20"/>
    </row>
    <row r="24" customFormat="false" ht="15" hidden="false" customHeight="false" outlineLevel="0" collapsed="false">
      <c r="A24" s="21" t="s">
        <v>48</v>
      </c>
      <c r="B24" s="22" t="n">
        <f aca="false">COUNTIF('All Parcels'!E8:E107,"Individual")</f>
        <v>60</v>
      </c>
      <c r="C24" s="23"/>
    </row>
    <row r="25" customFormat="false" ht="15" hidden="false" customHeight="false" outlineLevel="0" collapsed="false">
      <c r="A25" s="21" t="s">
        <v>49</v>
      </c>
      <c r="B25" s="22" t="n">
        <f aca="false">COUNTIF('All Parcels'!E8:E107,"Trust")</f>
        <v>14</v>
      </c>
      <c r="C25" s="23"/>
    </row>
    <row r="26" customFormat="false" ht="15" hidden="false" customHeight="false" outlineLevel="0" collapsed="false">
      <c r="A26" s="21" t="s">
        <v>50</v>
      </c>
      <c r="B26" s="22" t="n">
        <f aca="false">COUNTIF('All Parcels'!E8:E107,"Entity")</f>
        <v>20</v>
      </c>
      <c r="C26" s="23"/>
    </row>
    <row r="27" customFormat="false" ht="15" hidden="false" customHeight="false" outlineLevel="0" collapsed="false">
      <c r="A27" s="21" t="s">
        <v>51</v>
      </c>
      <c r="B27" s="22" t="n">
        <f aca="false">COUNTIF('All Parcels'!E8:E107,"MISSING")</f>
        <v>6</v>
      </c>
      <c r="C27" s="23"/>
    </row>
    <row r="29" customFormat="false" ht="18.75" hidden="false" customHeight="true" outlineLevel="0" collapsed="false">
      <c r="A29" s="20" t="s">
        <v>52</v>
      </c>
      <c r="B29" s="20"/>
      <c r="C29" s="20"/>
    </row>
    <row r="30" customFormat="false" ht="15" hidden="false" customHeight="false" outlineLevel="0" collapsed="false">
      <c r="A30" s="21" t="s">
        <v>53</v>
      </c>
      <c r="B30" s="22" t="n">
        <f aca="false">COUNTA('All Parcels'!H8:H107)</f>
        <v>21</v>
      </c>
      <c r="C30" s="23"/>
    </row>
    <row r="31" customFormat="false" ht="15" hidden="false" customHeight="false" outlineLevel="0" collapsed="false">
      <c r="A31" s="21" t="s">
        <v>54</v>
      </c>
      <c r="B31" s="22" t="n">
        <f aca="false">COUNTIF('All Parcels'!E8:E107,"MISSING")</f>
        <v>6</v>
      </c>
      <c r="C31" s="23"/>
    </row>
    <row r="33" customFormat="false" ht="16.15" hidden="false" customHeight="false" outlineLevel="0" collapsed="false">
      <c r="A33" s="9" t="s">
        <v>55</v>
      </c>
      <c r="B33" s="9"/>
      <c r="C33" s="9"/>
      <c r="D33" s="9"/>
      <c r="E33" s="9"/>
      <c r="F33" s="9"/>
    </row>
    <row r="34" customFormat="false" ht="15" hidden="false" customHeight="true" outlineLevel="0" collapsed="false">
      <c r="A34" s="27" t="s">
        <v>56</v>
      </c>
      <c r="B34" s="27"/>
      <c r="C34" s="27"/>
      <c r="D34" s="27"/>
      <c r="E34" s="27"/>
      <c r="F34" s="27"/>
    </row>
    <row r="35" customFormat="false" ht="15" hidden="false" customHeight="false" outlineLevel="0" collapsed="false">
      <c r="A35" s="27"/>
      <c r="B35" s="27"/>
      <c r="C35" s="27"/>
      <c r="D35" s="27"/>
      <c r="E35" s="27"/>
      <c r="F35" s="27"/>
    </row>
    <row r="36" customFormat="false" ht="15" hidden="false" customHeight="false" outlineLevel="0" collapsed="false">
      <c r="A36" s="27"/>
      <c r="B36" s="27"/>
      <c r="C36" s="27"/>
      <c r="D36" s="27"/>
      <c r="E36" s="27"/>
      <c r="F36" s="27"/>
    </row>
    <row r="37" customFormat="false" ht="15" hidden="false" customHeight="true" outlineLevel="0" collapsed="false">
      <c r="A37" s="27" t="s">
        <v>57</v>
      </c>
      <c r="B37" s="27"/>
      <c r="C37" s="27"/>
      <c r="D37" s="27"/>
      <c r="E37" s="27"/>
      <c r="F37" s="27"/>
    </row>
    <row r="38" customFormat="false" ht="15" hidden="false" customHeight="false" outlineLevel="0" collapsed="false">
      <c r="A38" s="27"/>
      <c r="B38" s="27"/>
      <c r="C38" s="27"/>
      <c r="D38" s="27"/>
      <c r="E38" s="27"/>
      <c r="F38" s="27"/>
    </row>
    <row r="39" customFormat="false" ht="15" hidden="false" customHeight="false" outlineLevel="0" collapsed="false">
      <c r="A39" s="27"/>
      <c r="B39" s="27"/>
      <c r="C39" s="27"/>
      <c r="D39" s="27"/>
      <c r="E39" s="27"/>
      <c r="F39" s="27"/>
    </row>
    <row r="40" customFormat="false" ht="15" hidden="false" customHeight="true" outlineLevel="0" collapsed="false">
      <c r="A40" s="27" t="s">
        <v>58</v>
      </c>
      <c r="B40" s="27"/>
      <c r="C40" s="27"/>
      <c r="D40" s="27"/>
      <c r="E40" s="27"/>
      <c r="F40" s="27"/>
    </row>
    <row r="41" customFormat="false" ht="15" hidden="false" customHeight="false" outlineLevel="0" collapsed="false">
      <c r="A41" s="27"/>
      <c r="B41" s="27"/>
      <c r="C41" s="27"/>
      <c r="D41" s="27"/>
      <c r="E41" s="27"/>
      <c r="F41" s="27"/>
    </row>
    <row r="42" customFormat="false" ht="15" hidden="false" customHeight="false" outlineLevel="0" collapsed="false">
      <c r="A42" s="27"/>
      <c r="B42" s="27"/>
      <c r="C42" s="27"/>
      <c r="D42" s="27"/>
      <c r="E42" s="27"/>
      <c r="F42" s="27"/>
    </row>
    <row r="43" customFormat="false" ht="15" hidden="false" customHeight="true" outlineLevel="0" collapsed="false">
      <c r="A43" s="27" t="s">
        <v>59</v>
      </c>
      <c r="B43" s="27"/>
      <c r="C43" s="27"/>
      <c r="D43" s="27"/>
      <c r="E43" s="27"/>
      <c r="F43" s="27"/>
    </row>
    <row r="44" customFormat="false" ht="15" hidden="false" customHeight="false" outlineLevel="0" collapsed="false">
      <c r="A44" s="27"/>
      <c r="B44" s="27"/>
      <c r="C44" s="27"/>
      <c r="D44" s="27"/>
      <c r="E44" s="27"/>
      <c r="F44" s="27"/>
    </row>
    <row r="45" customFormat="false" ht="15" hidden="false" customHeight="false" outlineLevel="0" collapsed="false">
      <c r="A45" s="27"/>
      <c r="B45" s="27"/>
      <c r="C45" s="27"/>
      <c r="D45" s="27"/>
      <c r="E45" s="27"/>
      <c r="F45" s="27"/>
    </row>
    <row r="46" customFormat="false" ht="15" hidden="false" customHeight="false" outlineLevel="0" collapsed="false">
      <c r="A46" s="28" t="s">
        <v>60</v>
      </c>
    </row>
    <row r="47" customFormat="false" ht="15" hidden="false" customHeight="false" outlineLevel="0" collapsed="false">
      <c r="A47" s="28" t="s">
        <v>61</v>
      </c>
    </row>
    <row r="49" customFormat="false" ht="3" hidden="false" customHeight="true" outlineLevel="0" collapsed="false">
      <c r="A49" s="14"/>
      <c r="B49" s="14"/>
      <c r="C49" s="14"/>
      <c r="D49" s="14"/>
      <c r="E49" s="14"/>
      <c r="F49" s="14"/>
    </row>
    <row r="50" customFormat="false" ht="15" hidden="false" customHeight="true" outlineLevel="0" collapsed="false">
      <c r="A50" s="15" t="s">
        <v>29</v>
      </c>
      <c r="B50" s="15"/>
      <c r="C50" s="15"/>
      <c r="D50" s="15"/>
      <c r="E50" s="15"/>
      <c r="F50" s="15"/>
    </row>
    <row r="51" customFormat="false" ht="15" hidden="false" customHeight="false" outlineLevel="0" collapsed="false">
      <c r="A51" s="15"/>
      <c r="B51" s="15"/>
      <c r="C51" s="15"/>
      <c r="D51" s="15"/>
      <c r="E51" s="15"/>
      <c r="F51" s="15"/>
    </row>
    <row r="52" customFormat="false" ht="15" hidden="false" customHeight="false" outlineLevel="0" collapsed="false">
      <c r="A52" s="16" t="s">
        <v>30</v>
      </c>
      <c r="B52" s="16"/>
      <c r="C52" s="16"/>
      <c r="D52" s="16"/>
      <c r="E52" s="16"/>
      <c r="F52" s="16"/>
    </row>
  </sheetData>
  <mergeCells count="16">
    <mergeCell ref="A1:F1"/>
    <mergeCell ref="A3:F3"/>
    <mergeCell ref="A4:F4"/>
    <mergeCell ref="A6:C6"/>
    <mergeCell ref="A14:C14"/>
    <mergeCell ref="A19:C19"/>
    <mergeCell ref="A23:C23"/>
    <mergeCell ref="A29:C29"/>
    <mergeCell ref="A33:F33"/>
    <mergeCell ref="A34:F36"/>
    <mergeCell ref="A37:F39"/>
    <mergeCell ref="A40:F42"/>
    <mergeCell ref="A43:F45"/>
    <mergeCell ref="A49:F49"/>
    <mergeCell ref="A50:F51"/>
    <mergeCell ref="A52:F52"/>
  </mergeCells>
  <printOptions headings="false" gridLines="false" gridLinesSet="true" horizontalCentered="false" verticalCentered="false"/>
  <pageMargins left="0.75" right="0.75" top="1" bottom="1" header="0.5" footer="0.5"/>
  <pageSetup paperSize="1" scale="100" fitToWidth="1" fitToHeight="0" pageOrder="downThenOver" orientation="portrait" blackAndWhite="false" draft="false" cellComments="none" horizontalDpi="300" verticalDpi="300" copies="1"/>
  <headerFooter differentFirst="false" differentOddEven="false">
    <oddHeader>&amp;L&amp;8 &amp;K8c7440BIC REA LLC&amp;R&amp;8 &amp;K8c7440Tax Delinquency Watchlist · 9 Sep 2026</oddHeader>
    <oddFooter>&amp;L&amp;8 &amp;K6b6b6bConfidential — internal working document&amp;R&amp;8 &amp;K6b6b6bPage &amp;P of &amp;N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C7440"/>
    <pageSetUpPr fitToPage="true"/>
  </sheetPr>
  <dimension ref="A1:H1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3"/>
    <col collapsed="false" customWidth="true" hidden="false" outlineLevel="0" max="3" min="3" style="0" width="15"/>
    <col collapsed="false" customWidth="true" hidden="false" outlineLevel="0" max="4" min="4" style="0" width="30"/>
    <col collapsed="false" customWidth="true" hidden="false" outlineLevel="0" max="5" min="5" style="0" width="12"/>
    <col collapsed="false" customWidth="true" hidden="false" outlineLevel="0" max="6" min="6" style="0" width="8"/>
    <col collapsed="false" customWidth="true" hidden="false" outlineLevel="0" max="7" min="7" style="0" width="9"/>
    <col collapsed="false" customWidth="true" hidden="false" outlineLevel="0" max="8" min="8" style="0" width="30"/>
  </cols>
  <sheetData>
    <row r="1" customFormat="false" ht="30" hidden="false" customHeight="true" outlineLevel="0" collapsed="false">
      <c r="A1" s="18" t="s">
        <v>0</v>
      </c>
      <c r="B1" s="18"/>
      <c r="C1" s="18"/>
      <c r="D1" s="18"/>
      <c r="E1" s="18"/>
      <c r="F1" s="18"/>
      <c r="G1" s="18"/>
      <c r="H1" s="18"/>
    </row>
    <row r="2" customFormat="false" ht="3" hidden="false" customHeight="true" outlineLevel="0" collapsed="false">
      <c r="A2" s="4"/>
      <c r="B2" s="4"/>
      <c r="C2" s="4"/>
      <c r="D2" s="4"/>
      <c r="E2" s="4"/>
      <c r="F2" s="4"/>
      <c r="G2" s="4"/>
      <c r="H2" s="4"/>
    </row>
    <row r="3" customFormat="false" ht="21.75" hidden="false" customHeight="true" outlineLevel="0" collapsed="false">
      <c r="A3" s="19" t="s">
        <v>62</v>
      </c>
      <c r="B3" s="19"/>
      <c r="C3" s="19"/>
      <c r="D3" s="19"/>
      <c r="E3" s="19"/>
      <c r="F3" s="19"/>
      <c r="G3" s="19"/>
      <c r="H3" s="19"/>
    </row>
    <row r="4" customFormat="false" ht="15" hidden="false" customHeight="true" outlineLevel="0" collapsed="false">
      <c r="A4" s="15" t="s">
        <v>63</v>
      </c>
      <c r="B4" s="15"/>
      <c r="C4" s="15"/>
      <c r="D4" s="15"/>
      <c r="E4" s="15"/>
      <c r="F4" s="15"/>
      <c r="G4" s="15"/>
      <c r="H4" s="15"/>
    </row>
    <row r="5" customFormat="false" ht="15" hidden="false" customHeight="false" outlineLevel="0" collapsed="false">
      <c r="A5" s="15"/>
      <c r="B5" s="15"/>
      <c r="C5" s="15"/>
      <c r="D5" s="15"/>
      <c r="E5" s="15"/>
      <c r="F5" s="15"/>
      <c r="G5" s="15"/>
      <c r="H5" s="15"/>
    </row>
    <row r="7" customFormat="false" ht="21.75" hidden="false" customHeight="true" outlineLevel="0" collapsed="false">
      <c r="A7" s="29" t="s">
        <v>64</v>
      </c>
      <c r="B7" s="29" t="s">
        <v>65</v>
      </c>
      <c r="C7" s="29" t="s">
        <v>66</v>
      </c>
      <c r="D7" s="29" t="s">
        <v>67</v>
      </c>
      <c r="E7" s="29" t="s">
        <v>68</v>
      </c>
      <c r="F7" s="29" t="s">
        <v>69</v>
      </c>
      <c r="G7" s="29" t="s">
        <v>70</v>
      </c>
      <c r="H7" s="29" t="s">
        <v>71</v>
      </c>
    </row>
    <row r="8" customFormat="false" ht="15" hidden="false" customHeight="false" outlineLevel="0" collapsed="false">
      <c r="A8" s="30" t="n">
        <v>1</v>
      </c>
      <c r="B8" s="31" t="s">
        <v>72</v>
      </c>
      <c r="C8" s="32" t="n">
        <v>159963.48</v>
      </c>
      <c r="D8" s="31" t="s">
        <v>73</v>
      </c>
      <c r="E8" s="31" t="s">
        <v>49</v>
      </c>
      <c r="F8" s="33" t="n">
        <v>1.4</v>
      </c>
      <c r="G8" s="30" t="s">
        <v>46</v>
      </c>
      <c r="H8" s="31" t="s">
        <v>74</v>
      </c>
    </row>
    <row r="9" customFormat="false" ht="15" hidden="false" customHeight="false" outlineLevel="0" collapsed="false">
      <c r="A9" s="34" t="n">
        <v>2</v>
      </c>
      <c r="B9" s="35" t="s">
        <v>75</v>
      </c>
      <c r="C9" s="36" t="n">
        <v>154171.65</v>
      </c>
      <c r="D9" s="35" t="s">
        <v>76</v>
      </c>
      <c r="E9" s="35" t="s">
        <v>50</v>
      </c>
      <c r="F9" s="37" t="n">
        <v>1</v>
      </c>
      <c r="G9" s="34" t="s">
        <v>46</v>
      </c>
      <c r="H9" s="35"/>
    </row>
    <row r="10" customFormat="false" ht="15" hidden="false" customHeight="false" outlineLevel="0" collapsed="false">
      <c r="A10" s="30" t="n">
        <v>3</v>
      </c>
      <c r="B10" s="31" t="s">
        <v>77</v>
      </c>
      <c r="C10" s="32" t="n">
        <v>114597.51</v>
      </c>
      <c r="D10" s="31" t="s">
        <v>78</v>
      </c>
      <c r="E10" s="31" t="s">
        <v>48</v>
      </c>
      <c r="F10" s="33" t="n">
        <v>3.4</v>
      </c>
      <c r="G10" s="30" t="s">
        <v>46</v>
      </c>
      <c r="H10" s="31"/>
    </row>
    <row r="11" customFormat="false" ht="15" hidden="false" customHeight="false" outlineLevel="0" collapsed="false">
      <c r="A11" s="34" t="n">
        <v>4</v>
      </c>
      <c r="B11" s="35" t="s">
        <v>79</v>
      </c>
      <c r="C11" s="36" t="n">
        <v>103233.98</v>
      </c>
      <c r="D11" s="35" t="s">
        <v>80</v>
      </c>
      <c r="E11" s="35" t="s">
        <v>50</v>
      </c>
      <c r="F11" s="37" t="n">
        <v>1</v>
      </c>
      <c r="G11" s="34" t="s">
        <v>46</v>
      </c>
      <c r="H11" s="35"/>
    </row>
    <row r="12" customFormat="false" ht="15" hidden="false" customHeight="false" outlineLevel="0" collapsed="false">
      <c r="A12" s="30" t="n">
        <v>5</v>
      </c>
      <c r="B12" s="31" t="s">
        <v>81</v>
      </c>
      <c r="C12" s="32" t="n">
        <v>96887.95</v>
      </c>
      <c r="D12" s="31" t="s">
        <v>82</v>
      </c>
      <c r="E12" s="31" t="s">
        <v>50</v>
      </c>
      <c r="F12" s="33" t="n">
        <v>1</v>
      </c>
      <c r="G12" s="30" t="s">
        <v>46</v>
      </c>
      <c r="H12" s="31"/>
    </row>
    <row r="13" customFormat="false" ht="15" hidden="false" customHeight="false" outlineLevel="0" collapsed="false">
      <c r="A13" s="34" t="n">
        <v>6</v>
      </c>
      <c r="B13" s="35" t="s">
        <v>83</v>
      </c>
      <c r="C13" s="36" t="n">
        <v>92986.28</v>
      </c>
      <c r="D13" s="35" t="s">
        <v>84</v>
      </c>
      <c r="E13" s="35" t="s">
        <v>50</v>
      </c>
      <c r="F13" s="37" t="n">
        <v>1</v>
      </c>
      <c r="G13" s="34" t="s">
        <v>46</v>
      </c>
      <c r="H13" s="35"/>
    </row>
    <row r="14" customFormat="false" ht="15" hidden="false" customHeight="false" outlineLevel="0" collapsed="false">
      <c r="A14" s="38" t="n">
        <v>7</v>
      </c>
      <c r="B14" s="39" t="s">
        <v>85</v>
      </c>
      <c r="C14" s="40" t="n">
        <v>77697.48</v>
      </c>
      <c r="D14" s="39" t="s">
        <v>86</v>
      </c>
      <c r="E14" s="39" t="s">
        <v>49</v>
      </c>
      <c r="F14" s="41" t="n">
        <v>4.2</v>
      </c>
      <c r="G14" s="42" t="s">
        <v>45</v>
      </c>
      <c r="H14" s="39"/>
    </row>
    <row r="15" customFormat="false" ht="15" hidden="false" customHeight="false" outlineLevel="0" collapsed="false">
      <c r="A15" s="34" t="n">
        <v>8</v>
      </c>
      <c r="B15" s="35" t="s">
        <v>87</v>
      </c>
      <c r="C15" s="36" t="n">
        <v>59064.56</v>
      </c>
      <c r="D15" s="35" t="s">
        <v>88</v>
      </c>
      <c r="E15" s="35" t="s">
        <v>50</v>
      </c>
      <c r="F15" s="37" t="n">
        <v>1.4</v>
      </c>
      <c r="G15" s="34" t="s">
        <v>46</v>
      </c>
      <c r="H15" s="35"/>
    </row>
    <row r="16" customFormat="false" ht="15" hidden="false" customHeight="false" outlineLevel="0" collapsed="false">
      <c r="A16" s="30" t="n">
        <v>9</v>
      </c>
      <c r="B16" s="31" t="s">
        <v>89</v>
      </c>
      <c r="C16" s="32" t="n">
        <v>54188.15</v>
      </c>
      <c r="D16" s="31" t="s">
        <v>90</v>
      </c>
      <c r="E16" s="31" t="s">
        <v>48</v>
      </c>
      <c r="F16" s="33" t="n">
        <v>2</v>
      </c>
      <c r="G16" s="30" t="s">
        <v>46</v>
      </c>
      <c r="H16" s="31"/>
    </row>
    <row r="17" customFormat="false" ht="15" hidden="false" customHeight="false" outlineLevel="0" collapsed="false">
      <c r="A17" s="34" t="n">
        <v>10</v>
      </c>
      <c r="B17" s="35" t="s">
        <v>91</v>
      </c>
      <c r="C17" s="36" t="n">
        <v>53813.13</v>
      </c>
      <c r="D17" s="35" t="s">
        <v>92</v>
      </c>
      <c r="E17" s="35" t="s">
        <v>49</v>
      </c>
      <c r="F17" s="37" t="n">
        <v>2.4</v>
      </c>
      <c r="G17" s="34" t="s">
        <v>46</v>
      </c>
      <c r="H17" s="35"/>
    </row>
    <row r="18" customFormat="false" ht="15" hidden="false" customHeight="false" outlineLevel="0" collapsed="false">
      <c r="A18" s="30" t="n">
        <v>11</v>
      </c>
      <c r="B18" s="31" t="s">
        <v>93</v>
      </c>
      <c r="C18" s="32" t="n">
        <v>49766.54</v>
      </c>
      <c r="D18" s="31" t="s">
        <v>94</v>
      </c>
      <c r="E18" s="31" t="s">
        <v>48</v>
      </c>
      <c r="F18" s="33" t="n">
        <v>3.6</v>
      </c>
      <c r="G18" s="30" t="s">
        <v>46</v>
      </c>
      <c r="H18" s="31" t="s">
        <v>95</v>
      </c>
    </row>
    <row r="19" customFormat="false" ht="15" hidden="false" customHeight="false" outlineLevel="0" collapsed="false">
      <c r="A19" s="34" t="n">
        <v>12</v>
      </c>
      <c r="B19" s="35" t="s">
        <v>96</v>
      </c>
      <c r="C19" s="36" t="n">
        <v>42157.73</v>
      </c>
      <c r="D19" s="43" t="s">
        <v>97</v>
      </c>
      <c r="E19" s="35" t="s">
        <v>51</v>
      </c>
      <c r="F19" s="37" t="n">
        <v>1.8</v>
      </c>
      <c r="G19" s="34" t="s">
        <v>46</v>
      </c>
      <c r="H19" s="35"/>
    </row>
    <row r="20" customFormat="false" ht="15" hidden="false" customHeight="false" outlineLevel="0" collapsed="false">
      <c r="A20" s="30" t="n">
        <v>13</v>
      </c>
      <c r="B20" s="31" t="s">
        <v>98</v>
      </c>
      <c r="C20" s="32" t="n">
        <v>37708.83</v>
      </c>
      <c r="D20" s="31" t="s">
        <v>99</v>
      </c>
      <c r="E20" s="31" t="s">
        <v>48</v>
      </c>
      <c r="F20" s="33" t="n">
        <v>1</v>
      </c>
      <c r="G20" s="30" t="s">
        <v>46</v>
      </c>
      <c r="H20" s="31"/>
    </row>
    <row r="21" customFormat="false" ht="15" hidden="false" customHeight="false" outlineLevel="0" collapsed="false">
      <c r="A21" s="34" t="n">
        <v>14</v>
      </c>
      <c r="B21" s="35" t="s">
        <v>100</v>
      </c>
      <c r="C21" s="36" t="n">
        <v>37182.33</v>
      </c>
      <c r="D21" s="43" t="s">
        <v>97</v>
      </c>
      <c r="E21" s="35" t="s">
        <v>51</v>
      </c>
      <c r="F21" s="37" t="n">
        <v>1.4</v>
      </c>
      <c r="G21" s="34" t="s">
        <v>46</v>
      </c>
      <c r="H21" s="35"/>
    </row>
    <row r="22" customFormat="false" ht="15" hidden="false" customHeight="false" outlineLevel="0" collapsed="false">
      <c r="A22" s="30" t="n">
        <v>15</v>
      </c>
      <c r="B22" s="31" t="s">
        <v>101</v>
      </c>
      <c r="C22" s="32" t="n">
        <v>33804.22</v>
      </c>
      <c r="D22" s="31" t="s">
        <v>84</v>
      </c>
      <c r="E22" s="31" t="s">
        <v>50</v>
      </c>
      <c r="F22" s="33" t="n">
        <v>1</v>
      </c>
      <c r="G22" s="30" t="s">
        <v>46</v>
      </c>
      <c r="H22" s="31"/>
    </row>
    <row r="23" customFormat="false" ht="15" hidden="false" customHeight="false" outlineLevel="0" collapsed="false">
      <c r="A23" s="34" t="n">
        <v>16</v>
      </c>
      <c r="B23" s="35" t="s">
        <v>102</v>
      </c>
      <c r="C23" s="36" t="n">
        <v>33566.26</v>
      </c>
      <c r="D23" s="35" t="s">
        <v>103</v>
      </c>
      <c r="E23" s="35" t="s">
        <v>48</v>
      </c>
      <c r="F23" s="37" t="n">
        <v>2.2</v>
      </c>
      <c r="G23" s="34" t="s">
        <v>46</v>
      </c>
      <c r="H23" s="35"/>
    </row>
    <row r="24" customFormat="false" ht="15" hidden="false" customHeight="false" outlineLevel="0" collapsed="false">
      <c r="A24" s="30" t="n">
        <v>17</v>
      </c>
      <c r="B24" s="31" t="s">
        <v>104</v>
      </c>
      <c r="C24" s="32" t="n">
        <v>33427.69</v>
      </c>
      <c r="D24" s="31" t="s">
        <v>105</v>
      </c>
      <c r="E24" s="31" t="s">
        <v>49</v>
      </c>
      <c r="F24" s="33" t="n">
        <v>3.8</v>
      </c>
      <c r="G24" s="30" t="s">
        <v>46</v>
      </c>
      <c r="H24" s="31"/>
    </row>
    <row r="25" customFormat="false" ht="15" hidden="false" customHeight="false" outlineLevel="0" collapsed="false">
      <c r="A25" s="34" t="n">
        <v>18</v>
      </c>
      <c r="B25" s="35" t="s">
        <v>106</v>
      </c>
      <c r="C25" s="36" t="n">
        <v>33416.04</v>
      </c>
      <c r="D25" s="35" t="s">
        <v>107</v>
      </c>
      <c r="E25" s="35" t="s">
        <v>49</v>
      </c>
      <c r="F25" s="37" t="n">
        <v>3.2</v>
      </c>
      <c r="G25" s="34" t="s">
        <v>46</v>
      </c>
      <c r="H25" s="35"/>
    </row>
    <row r="26" customFormat="false" ht="15" hidden="false" customHeight="false" outlineLevel="0" collapsed="false">
      <c r="A26" s="30" t="n">
        <v>19</v>
      </c>
      <c r="B26" s="31" t="s">
        <v>108</v>
      </c>
      <c r="C26" s="32" t="n">
        <v>32614.64</v>
      </c>
      <c r="D26" s="31" t="s">
        <v>109</v>
      </c>
      <c r="E26" s="31" t="s">
        <v>48</v>
      </c>
      <c r="F26" s="33" t="n">
        <v>2.2</v>
      </c>
      <c r="G26" s="30" t="s">
        <v>46</v>
      </c>
      <c r="H26" s="31"/>
    </row>
    <row r="27" customFormat="false" ht="15" hidden="false" customHeight="false" outlineLevel="0" collapsed="false">
      <c r="A27" s="34" t="n">
        <v>20</v>
      </c>
      <c r="B27" s="35" t="s">
        <v>110</v>
      </c>
      <c r="C27" s="36" t="n">
        <v>32393.02</v>
      </c>
      <c r="D27" s="35" t="s">
        <v>111</v>
      </c>
      <c r="E27" s="35" t="s">
        <v>50</v>
      </c>
      <c r="F27" s="37" t="n">
        <v>1</v>
      </c>
      <c r="G27" s="34" t="s">
        <v>46</v>
      </c>
      <c r="H27" s="35"/>
    </row>
    <row r="28" customFormat="false" ht="15" hidden="false" customHeight="false" outlineLevel="0" collapsed="false">
      <c r="A28" s="30" t="n">
        <v>21</v>
      </c>
      <c r="B28" s="31" t="s">
        <v>112</v>
      </c>
      <c r="C28" s="32" t="n">
        <v>32003.76</v>
      </c>
      <c r="D28" s="31" t="s">
        <v>113</v>
      </c>
      <c r="E28" s="31" t="s">
        <v>48</v>
      </c>
      <c r="F28" s="33" t="n">
        <v>2.8</v>
      </c>
      <c r="G28" s="30" t="s">
        <v>46</v>
      </c>
      <c r="H28" s="31"/>
    </row>
    <row r="29" customFormat="false" ht="15" hidden="false" customHeight="false" outlineLevel="0" collapsed="false">
      <c r="A29" s="34" t="n">
        <v>22</v>
      </c>
      <c r="B29" s="35" t="s">
        <v>114</v>
      </c>
      <c r="C29" s="36" t="n">
        <v>30210.24</v>
      </c>
      <c r="D29" s="35" t="s">
        <v>115</v>
      </c>
      <c r="E29" s="35" t="s">
        <v>49</v>
      </c>
      <c r="F29" s="37" t="n">
        <v>2.4</v>
      </c>
      <c r="G29" s="34" t="s">
        <v>46</v>
      </c>
      <c r="H29" s="35"/>
    </row>
    <row r="30" customFormat="false" ht="15" hidden="false" customHeight="false" outlineLevel="0" collapsed="false">
      <c r="A30" s="30" t="n">
        <v>23</v>
      </c>
      <c r="B30" s="31" t="s">
        <v>116</v>
      </c>
      <c r="C30" s="32" t="n">
        <v>29748.4</v>
      </c>
      <c r="D30" s="31" t="s">
        <v>117</v>
      </c>
      <c r="E30" s="31" t="s">
        <v>50</v>
      </c>
      <c r="F30" s="33" t="n">
        <v>2.4</v>
      </c>
      <c r="G30" s="30" t="s">
        <v>46</v>
      </c>
      <c r="H30" s="31"/>
    </row>
    <row r="31" customFormat="false" ht="15" hidden="false" customHeight="false" outlineLevel="0" collapsed="false">
      <c r="A31" s="34" t="n">
        <v>24</v>
      </c>
      <c r="B31" s="35" t="s">
        <v>118</v>
      </c>
      <c r="C31" s="36" t="n">
        <v>29067.32</v>
      </c>
      <c r="D31" s="35" t="s">
        <v>119</v>
      </c>
      <c r="E31" s="35" t="s">
        <v>50</v>
      </c>
      <c r="F31" s="37" t="n">
        <v>1</v>
      </c>
      <c r="G31" s="34" t="s">
        <v>46</v>
      </c>
      <c r="H31" s="35" t="s">
        <v>120</v>
      </c>
    </row>
    <row r="32" customFormat="false" ht="15" hidden="false" customHeight="false" outlineLevel="0" collapsed="false">
      <c r="A32" s="30" t="n">
        <v>25</v>
      </c>
      <c r="B32" s="31" t="s">
        <v>121</v>
      </c>
      <c r="C32" s="32" t="n">
        <v>28076.55</v>
      </c>
      <c r="D32" s="31" t="s">
        <v>122</v>
      </c>
      <c r="E32" s="31" t="s">
        <v>50</v>
      </c>
      <c r="F32" s="33" t="n">
        <v>1.8</v>
      </c>
      <c r="G32" s="30" t="s">
        <v>46</v>
      </c>
      <c r="H32" s="31" t="s">
        <v>123</v>
      </c>
    </row>
    <row r="33" customFormat="false" ht="15" hidden="false" customHeight="false" outlineLevel="0" collapsed="false">
      <c r="A33" s="34" t="n">
        <v>26</v>
      </c>
      <c r="B33" s="35" t="s">
        <v>124</v>
      </c>
      <c r="C33" s="36" t="n">
        <v>27444.65</v>
      </c>
      <c r="D33" s="35" t="s">
        <v>125</v>
      </c>
      <c r="E33" s="35" t="s">
        <v>48</v>
      </c>
      <c r="F33" s="37" t="n">
        <v>3</v>
      </c>
      <c r="G33" s="34" t="s">
        <v>46</v>
      </c>
      <c r="H33" s="35"/>
    </row>
    <row r="34" customFormat="false" ht="15" hidden="false" customHeight="false" outlineLevel="0" collapsed="false">
      <c r="A34" s="30" t="n">
        <v>27</v>
      </c>
      <c r="B34" s="31" t="s">
        <v>126</v>
      </c>
      <c r="C34" s="32" t="n">
        <v>26933.21</v>
      </c>
      <c r="D34" s="31" t="s">
        <v>127</v>
      </c>
      <c r="E34" s="31" t="s">
        <v>48</v>
      </c>
      <c r="F34" s="33" t="n">
        <v>1.4</v>
      </c>
      <c r="G34" s="30" t="s">
        <v>46</v>
      </c>
      <c r="H34" s="31"/>
    </row>
    <row r="35" customFormat="false" ht="15" hidden="false" customHeight="false" outlineLevel="0" collapsed="false">
      <c r="A35" s="34" t="n">
        <v>28</v>
      </c>
      <c r="B35" s="35" t="s">
        <v>128</v>
      </c>
      <c r="C35" s="36" t="n">
        <v>26739.77</v>
      </c>
      <c r="D35" s="35" t="s">
        <v>129</v>
      </c>
      <c r="E35" s="35" t="s">
        <v>48</v>
      </c>
      <c r="F35" s="37" t="n">
        <v>3.4</v>
      </c>
      <c r="G35" s="34" t="s">
        <v>46</v>
      </c>
      <c r="H35" s="35"/>
    </row>
    <row r="36" customFormat="false" ht="15" hidden="false" customHeight="false" outlineLevel="0" collapsed="false">
      <c r="A36" s="38" t="n">
        <v>29</v>
      </c>
      <c r="B36" s="39" t="s">
        <v>130</v>
      </c>
      <c r="C36" s="40" t="n">
        <v>26193.31</v>
      </c>
      <c r="D36" s="39" t="s">
        <v>131</v>
      </c>
      <c r="E36" s="39" t="s">
        <v>48</v>
      </c>
      <c r="F36" s="41" t="n">
        <v>4</v>
      </c>
      <c r="G36" s="42" t="s">
        <v>45</v>
      </c>
      <c r="H36" s="39"/>
    </row>
    <row r="37" customFormat="false" ht="15" hidden="false" customHeight="false" outlineLevel="0" collapsed="false">
      <c r="A37" s="34" t="n">
        <v>30</v>
      </c>
      <c r="B37" s="35" t="s">
        <v>132</v>
      </c>
      <c r="C37" s="36" t="n">
        <v>25301.17</v>
      </c>
      <c r="D37" s="35" t="s">
        <v>133</v>
      </c>
      <c r="E37" s="35" t="s">
        <v>49</v>
      </c>
      <c r="F37" s="37" t="n">
        <v>2.4</v>
      </c>
      <c r="G37" s="34" t="s">
        <v>46</v>
      </c>
      <c r="H37" s="35"/>
    </row>
    <row r="38" customFormat="false" ht="15" hidden="false" customHeight="false" outlineLevel="0" collapsed="false">
      <c r="A38" s="30" t="n">
        <v>31</v>
      </c>
      <c r="B38" s="31" t="s">
        <v>134</v>
      </c>
      <c r="C38" s="32" t="n">
        <v>24829.22</v>
      </c>
      <c r="D38" s="31" t="s">
        <v>135</v>
      </c>
      <c r="E38" s="31" t="s">
        <v>48</v>
      </c>
      <c r="F38" s="33" t="n">
        <v>1.8</v>
      </c>
      <c r="G38" s="30" t="s">
        <v>46</v>
      </c>
      <c r="H38" s="31"/>
    </row>
    <row r="39" customFormat="false" ht="15" hidden="false" customHeight="false" outlineLevel="0" collapsed="false">
      <c r="A39" s="34" t="n">
        <v>32</v>
      </c>
      <c r="B39" s="35" t="s">
        <v>136</v>
      </c>
      <c r="C39" s="36" t="n">
        <v>24636.12</v>
      </c>
      <c r="D39" s="35" t="s">
        <v>137</v>
      </c>
      <c r="E39" s="35" t="s">
        <v>48</v>
      </c>
      <c r="F39" s="37" t="n">
        <v>2.8</v>
      </c>
      <c r="G39" s="34" t="s">
        <v>46</v>
      </c>
      <c r="H39" s="35"/>
    </row>
    <row r="40" customFormat="false" ht="15" hidden="false" customHeight="false" outlineLevel="0" collapsed="false">
      <c r="A40" s="30" t="n">
        <v>33</v>
      </c>
      <c r="B40" s="31" t="s">
        <v>138</v>
      </c>
      <c r="C40" s="32" t="n">
        <v>24341.33</v>
      </c>
      <c r="D40" s="31" t="s">
        <v>139</v>
      </c>
      <c r="E40" s="31" t="s">
        <v>48</v>
      </c>
      <c r="F40" s="33" t="n">
        <v>2.2</v>
      </c>
      <c r="G40" s="30" t="s">
        <v>46</v>
      </c>
      <c r="H40" s="31"/>
    </row>
    <row r="41" customFormat="false" ht="15" hidden="false" customHeight="false" outlineLevel="0" collapsed="false">
      <c r="A41" s="34" t="n">
        <v>34</v>
      </c>
      <c r="B41" s="35" t="s">
        <v>140</v>
      </c>
      <c r="C41" s="36" t="n">
        <v>24240.51</v>
      </c>
      <c r="D41" s="35" t="s">
        <v>141</v>
      </c>
      <c r="E41" s="35" t="s">
        <v>48</v>
      </c>
      <c r="F41" s="37" t="n">
        <v>2.4</v>
      </c>
      <c r="G41" s="34" t="s">
        <v>46</v>
      </c>
      <c r="H41" s="35" t="s">
        <v>142</v>
      </c>
    </row>
    <row r="42" customFormat="false" ht="15" hidden="false" customHeight="false" outlineLevel="0" collapsed="false">
      <c r="A42" s="30" t="n">
        <v>35</v>
      </c>
      <c r="B42" s="31" t="s">
        <v>143</v>
      </c>
      <c r="C42" s="32" t="n">
        <v>23551.46</v>
      </c>
      <c r="D42" s="31" t="s">
        <v>144</v>
      </c>
      <c r="E42" s="31" t="s">
        <v>48</v>
      </c>
      <c r="F42" s="33" t="n">
        <v>1.4</v>
      </c>
      <c r="G42" s="30" t="s">
        <v>46</v>
      </c>
      <c r="H42" s="31"/>
    </row>
    <row r="43" customFormat="false" ht="15" hidden="false" customHeight="false" outlineLevel="0" collapsed="false">
      <c r="A43" s="34" t="n">
        <v>36</v>
      </c>
      <c r="B43" s="35" t="s">
        <v>145</v>
      </c>
      <c r="C43" s="36" t="n">
        <v>23180.53</v>
      </c>
      <c r="D43" s="35" t="s">
        <v>146</v>
      </c>
      <c r="E43" s="35" t="s">
        <v>48</v>
      </c>
      <c r="F43" s="37" t="n">
        <v>2.4</v>
      </c>
      <c r="G43" s="34" t="s">
        <v>46</v>
      </c>
      <c r="H43" s="35"/>
    </row>
    <row r="44" customFormat="false" ht="15" hidden="false" customHeight="false" outlineLevel="0" collapsed="false">
      <c r="A44" s="30" t="n">
        <v>37</v>
      </c>
      <c r="B44" s="31" t="s">
        <v>147</v>
      </c>
      <c r="C44" s="32" t="n">
        <v>22485.38</v>
      </c>
      <c r="D44" s="31" t="s">
        <v>148</v>
      </c>
      <c r="E44" s="31" t="s">
        <v>48</v>
      </c>
      <c r="F44" s="33" t="n">
        <v>2.4</v>
      </c>
      <c r="G44" s="30" t="s">
        <v>46</v>
      </c>
      <c r="H44" s="31"/>
    </row>
    <row r="45" customFormat="false" ht="15" hidden="false" customHeight="false" outlineLevel="0" collapsed="false">
      <c r="A45" s="34" t="n">
        <v>38</v>
      </c>
      <c r="B45" s="35" t="s">
        <v>149</v>
      </c>
      <c r="C45" s="36" t="n">
        <v>22248.99</v>
      </c>
      <c r="D45" s="35" t="s">
        <v>150</v>
      </c>
      <c r="E45" s="35" t="s">
        <v>48</v>
      </c>
      <c r="F45" s="37" t="n">
        <v>2</v>
      </c>
      <c r="G45" s="34" t="s">
        <v>46</v>
      </c>
      <c r="H45" s="35" t="s">
        <v>151</v>
      </c>
    </row>
    <row r="46" customFormat="false" ht="15" hidden="false" customHeight="false" outlineLevel="0" collapsed="false">
      <c r="A46" s="30" t="n">
        <v>39</v>
      </c>
      <c r="B46" s="31" t="s">
        <v>152</v>
      </c>
      <c r="C46" s="32" t="n">
        <v>21677.78</v>
      </c>
      <c r="D46" s="31" t="s">
        <v>153</v>
      </c>
      <c r="E46" s="31" t="s">
        <v>50</v>
      </c>
      <c r="F46" s="33" t="n">
        <v>2.4</v>
      </c>
      <c r="G46" s="30" t="s">
        <v>46</v>
      </c>
      <c r="H46" s="31"/>
    </row>
    <row r="47" customFormat="false" ht="15" hidden="false" customHeight="false" outlineLevel="0" collapsed="false">
      <c r="A47" s="34" t="n">
        <v>40</v>
      </c>
      <c r="B47" s="35" t="s">
        <v>154</v>
      </c>
      <c r="C47" s="36" t="n">
        <v>20766.56</v>
      </c>
      <c r="D47" s="35" t="s">
        <v>155</v>
      </c>
      <c r="E47" s="35" t="s">
        <v>48</v>
      </c>
      <c r="F47" s="37" t="n">
        <v>3</v>
      </c>
      <c r="G47" s="34" t="s">
        <v>46</v>
      </c>
      <c r="H47" s="35" t="s">
        <v>156</v>
      </c>
    </row>
    <row r="48" customFormat="false" ht="15" hidden="false" customHeight="false" outlineLevel="0" collapsed="false">
      <c r="A48" s="30" t="n">
        <v>41</v>
      </c>
      <c r="B48" s="31" t="s">
        <v>157</v>
      </c>
      <c r="C48" s="32" t="n">
        <v>20658.58</v>
      </c>
      <c r="D48" s="31" t="s">
        <v>158</v>
      </c>
      <c r="E48" s="31" t="s">
        <v>48</v>
      </c>
      <c r="F48" s="33" t="n">
        <v>2.4</v>
      </c>
      <c r="G48" s="30" t="s">
        <v>46</v>
      </c>
      <c r="H48" s="31"/>
    </row>
    <row r="49" customFormat="false" ht="15" hidden="false" customHeight="false" outlineLevel="0" collapsed="false">
      <c r="A49" s="34" t="n">
        <v>42</v>
      </c>
      <c r="B49" s="35" t="s">
        <v>159</v>
      </c>
      <c r="C49" s="36" t="n">
        <v>19893.67</v>
      </c>
      <c r="D49" s="35" t="s">
        <v>160</v>
      </c>
      <c r="E49" s="35" t="s">
        <v>48</v>
      </c>
      <c r="F49" s="37" t="n">
        <v>3.6</v>
      </c>
      <c r="G49" s="34" t="s">
        <v>46</v>
      </c>
      <c r="H49" s="35"/>
    </row>
    <row r="50" customFormat="false" ht="15" hidden="false" customHeight="false" outlineLevel="0" collapsed="false">
      <c r="A50" s="30" t="n">
        <v>43</v>
      </c>
      <c r="B50" s="31" t="s">
        <v>161</v>
      </c>
      <c r="C50" s="32" t="n">
        <v>19697.28</v>
      </c>
      <c r="D50" s="31" t="s">
        <v>162</v>
      </c>
      <c r="E50" s="31" t="s">
        <v>48</v>
      </c>
      <c r="F50" s="33" t="n">
        <v>1</v>
      </c>
      <c r="G50" s="30" t="s">
        <v>46</v>
      </c>
      <c r="H50" s="31"/>
    </row>
    <row r="51" customFormat="false" ht="15" hidden="false" customHeight="false" outlineLevel="0" collapsed="false">
      <c r="A51" s="34" t="n">
        <v>44</v>
      </c>
      <c r="B51" s="35" t="s">
        <v>163</v>
      </c>
      <c r="C51" s="36" t="n">
        <v>19282.85</v>
      </c>
      <c r="D51" s="35" t="s">
        <v>164</v>
      </c>
      <c r="E51" s="35" t="s">
        <v>48</v>
      </c>
      <c r="F51" s="37" t="n">
        <v>2.6</v>
      </c>
      <c r="G51" s="34" t="s">
        <v>46</v>
      </c>
      <c r="H51" s="35"/>
    </row>
    <row r="52" customFormat="false" ht="15" hidden="false" customHeight="false" outlineLevel="0" collapsed="false">
      <c r="A52" s="38" t="n">
        <v>45</v>
      </c>
      <c r="B52" s="39" t="s">
        <v>165</v>
      </c>
      <c r="C52" s="40" t="n">
        <v>18900.39</v>
      </c>
      <c r="D52" s="39" t="s">
        <v>166</v>
      </c>
      <c r="E52" s="39" t="s">
        <v>49</v>
      </c>
      <c r="F52" s="41" t="n">
        <v>4.4</v>
      </c>
      <c r="G52" s="42" t="s">
        <v>45</v>
      </c>
      <c r="H52" s="39"/>
    </row>
    <row r="53" customFormat="false" ht="15" hidden="false" customHeight="false" outlineLevel="0" collapsed="false">
      <c r="A53" s="38" t="n">
        <v>46</v>
      </c>
      <c r="B53" s="39" t="s">
        <v>167</v>
      </c>
      <c r="C53" s="40" t="n">
        <v>18354.18</v>
      </c>
      <c r="D53" s="39" t="s">
        <v>168</v>
      </c>
      <c r="E53" s="39" t="s">
        <v>48</v>
      </c>
      <c r="F53" s="41" t="n">
        <v>4</v>
      </c>
      <c r="G53" s="42" t="s">
        <v>45</v>
      </c>
      <c r="H53" s="39"/>
    </row>
    <row r="54" customFormat="false" ht="15" hidden="false" customHeight="false" outlineLevel="0" collapsed="false">
      <c r="A54" s="30" t="n">
        <v>47</v>
      </c>
      <c r="B54" s="31" t="s">
        <v>169</v>
      </c>
      <c r="C54" s="32" t="n">
        <v>18332.61</v>
      </c>
      <c r="D54" s="31" t="s">
        <v>170</v>
      </c>
      <c r="E54" s="31" t="s">
        <v>48</v>
      </c>
      <c r="F54" s="33" t="n">
        <v>2.4</v>
      </c>
      <c r="G54" s="30" t="s">
        <v>46</v>
      </c>
      <c r="H54" s="31"/>
    </row>
    <row r="55" customFormat="false" ht="15" hidden="false" customHeight="false" outlineLevel="0" collapsed="false">
      <c r="A55" s="34" t="n">
        <v>48</v>
      </c>
      <c r="B55" s="35" t="s">
        <v>171</v>
      </c>
      <c r="C55" s="36" t="n">
        <v>17852.41</v>
      </c>
      <c r="D55" s="35" t="s">
        <v>172</v>
      </c>
      <c r="E55" s="35" t="s">
        <v>48</v>
      </c>
      <c r="F55" s="37" t="n">
        <v>1</v>
      </c>
      <c r="G55" s="34" t="s">
        <v>46</v>
      </c>
      <c r="H55" s="35"/>
    </row>
    <row r="56" customFormat="false" ht="15" hidden="false" customHeight="false" outlineLevel="0" collapsed="false">
      <c r="A56" s="30" t="n">
        <v>49</v>
      </c>
      <c r="B56" s="31" t="s">
        <v>173</v>
      </c>
      <c r="C56" s="32" t="n">
        <v>17781.29</v>
      </c>
      <c r="D56" s="31" t="s">
        <v>174</v>
      </c>
      <c r="E56" s="31" t="s">
        <v>48</v>
      </c>
      <c r="F56" s="33" t="n">
        <v>3</v>
      </c>
      <c r="G56" s="30" t="s">
        <v>46</v>
      </c>
      <c r="H56" s="31"/>
    </row>
    <row r="57" customFormat="false" ht="15" hidden="false" customHeight="false" outlineLevel="0" collapsed="false">
      <c r="A57" s="34" t="n">
        <v>50</v>
      </c>
      <c r="B57" s="35" t="s">
        <v>175</v>
      </c>
      <c r="C57" s="36" t="n">
        <v>17437.16</v>
      </c>
      <c r="D57" s="35" t="s">
        <v>176</v>
      </c>
      <c r="E57" s="35" t="s">
        <v>48</v>
      </c>
      <c r="F57" s="37" t="n">
        <v>2.8</v>
      </c>
      <c r="G57" s="34" t="s">
        <v>46</v>
      </c>
      <c r="H57" s="35" t="s">
        <v>177</v>
      </c>
    </row>
    <row r="58" customFormat="false" ht="15" hidden="false" customHeight="false" outlineLevel="0" collapsed="false">
      <c r="A58" s="30" t="n">
        <v>51</v>
      </c>
      <c r="B58" s="31" t="s">
        <v>178</v>
      </c>
      <c r="C58" s="32" t="n">
        <v>17345.01</v>
      </c>
      <c r="D58" s="31" t="s">
        <v>179</v>
      </c>
      <c r="E58" s="31" t="s">
        <v>48</v>
      </c>
      <c r="F58" s="33" t="n">
        <v>2.8</v>
      </c>
      <c r="G58" s="30" t="s">
        <v>46</v>
      </c>
      <c r="H58" s="31"/>
    </row>
    <row r="59" customFormat="false" ht="15" hidden="false" customHeight="false" outlineLevel="0" collapsed="false">
      <c r="A59" s="34" t="n">
        <v>52</v>
      </c>
      <c r="B59" s="35" t="s">
        <v>180</v>
      </c>
      <c r="C59" s="36" t="n">
        <v>17255.53</v>
      </c>
      <c r="D59" s="35" t="s">
        <v>181</v>
      </c>
      <c r="E59" s="35" t="s">
        <v>48</v>
      </c>
      <c r="F59" s="37" t="n">
        <v>2.8</v>
      </c>
      <c r="G59" s="34" t="s">
        <v>46</v>
      </c>
      <c r="H59" s="35"/>
    </row>
    <row r="60" customFormat="false" ht="15" hidden="false" customHeight="false" outlineLevel="0" collapsed="false">
      <c r="A60" s="30" t="n">
        <v>53</v>
      </c>
      <c r="B60" s="31" t="s">
        <v>182</v>
      </c>
      <c r="C60" s="32" t="n">
        <v>16363.33</v>
      </c>
      <c r="D60" s="31" t="s">
        <v>183</v>
      </c>
      <c r="E60" s="31" t="s">
        <v>48</v>
      </c>
      <c r="F60" s="33" t="n">
        <v>1.4</v>
      </c>
      <c r="G60" s="30" t="s">
        <v>46</v>
      </c>
      <c r="H60" s="31"/>
    </row>
    <row r="61" customFormat="false" ht="15" hidden="false" customHeight="false" outlineLevel="0" collapsed="false">
      <c r="A61" s="34" t="n">
        <v>54</v>
      </c>
      <c r="B61" s="35" t="s">
        <v>184</v>
      </c>
      <c r="C61" s="36" t="n">
        <v>16246.42</v>
      </c>
      <c r="D61" s="35" t="s">
        <v>185</v>
      </c>
      <c r="E61" s="35" t="s">
        <v>50</v>
      </c>
      <c r="F61" s="37" t="n">
        <v>1</v>
      </c>
      <c r="G61" s="34" t="s">
        <v>46</v>
      </c>
      <c r="H61" s="35"/>
    </row>
    <row r="62" customFormat="false" ht="15" hidden="false" customHeight="false" outlineLevel="0" collapsed="false">
      <c r="A62" s="30" t="n">
        <v>55</v>
      </c>
      <c r="B62" s="31" t="s">
        <v>186</v>
      </c>
      <c r="C62" s="32" t="n">
        <v>16092.05</v>
      </c>
      <c r="D62" s="44" t="s">
        <v>97</v>
      </c>
      <c r="E62" s="31" t="s">
        <v>51</v>
      </c>
      <c r="F62" s="33" t="n">
        <v>3.4</v>
      </c>
      <c r="G62" s="30" t="s">
        <v>46</v>
      </c>
      <c r="H62" s="31"/>
    </row>
    <row r="63" customFormat="false" ht="15" hidden="false" customHeight="false" outlineLevel="0" collapsed="false">
      <c r="A63" s="34" t="n">
        <v>56</v>
      </c>
      <c r="B63" s="35" t="s">
        <v>187</v>
      </c>
      <c r="C63" s="36" t="n">
        <v>15693.07</v>
      </c>
      <c r="D63" s="35" t="s">
        <v>188</v>
      </c>
      <c r="E63" s="35" t="s">
        <v>48</v>
      </c>
      <c r="F63" s="37" t="n">
        <v>2.4</v>
      </c>
      <c r="G63" s="34" t="s">
        <v>46</v>
      </c>
      <c r="H63" s="35"/>
    </row>
    <row r="64" customFormat="false" ht="15" hidden="false" customHeight="false" outlineLevel="0" collapsed="false">
      <c r="A64" s="30" t="n">
        <v>57</v>
      </c>
      <c r="B64" s="31" t="s">
        <v>189</v>
      </c>
      <c r="C64" s="32" t="n">
        <v>15685.16</v>
      </c>
      <c r="D64" s="31" t="s">
        <v>190</v>
      </c>
      <c r="E64" s="31" t="s">
        <v>48</v>
      </c>
      <c r="F64" s="33" t="n">
        <v>2.4</v>
      </c>
      <c r="G64" s="30" t="s">
        <v>46</v>
      </c>
      <c r="H64" s="31"/>
    </row>
    <row r="65" customFormat="false" ht="15" hidden="false" customHeight="false" outlineLevel="0" collapsed="false">
      <c r="A65" s="34" t="n">
        <v>58</v>
      </c>
      <c r="B65" s="35" t="s">
        <v>191</v>
      </c>
      <c r="C65" s="36" t="n">
        <v>15398.38</v>
      </c>
      <c r="D65" s="35" t="s">
        <v>192</v>
      </c>
      <c r="E65" s="35" t="s">
        <v>48</v>
      </c>
      <c r="F65" s="37" t="n">
        <v>1.4</v>
      </c>
      <c r="G65" s="34" t="s">
        <v>46</v>
      </c>
      <c r="H65" s="35"/>
    </row>
    <row r="66" customFormat="false" ht="15" hidden="false" customHeight="false" outlineLevel="0" collapsed="false">
      <c r="A66" s="30" t="n">
        <v>59</v>
      </c>
      <c r="B66" s="31" t="s">
        <v>193</v>
      </c>
      <c r="C66" s="32" t="n">
        <v>15344.56</v>
      </c>
      <c r="D66" s="31" t="s">
        <v>194</v>
      </c>
      <c r="E66" s="31" t="s">
        <v>50</v>
      </c>
      <c r="F66" s="33" t="n">
        <v>1</v>
      </c>
      <c r="G66" s="30" t="s">
        <v>46</v>
      </c>
      <c r="H66" s="31"/>
    </row>
    <row r="67" customFormat="false" ht="15" hidden="false" customHeight="false" outlineLevel="0" collapsed="false">
      <c r="A67" s="34" t="n">
        <v>60</v>
      </c>
      <c r="B67" s="35" t="s">
        <v>195</v>
      </c>
      <c r="C67" s="36" t="n">
        <v>14668.73</v>
      </c>
      <c r="D67" s="35" t="s">
        <v>196</v>
      </c>
      <c r="E67" s="35" t="s">
        <v>50</v>
      </c>
      <c r="F67" s="37" t="n">
        <v>1</v>
      </c>
      <c r="G67" s="34" t="s">
        <v>46</v>
      </c>
      <c r="H67" s="35"/>
    </row>
    <row r="68" customFormat="false" ht="15" hidden="false" customHeight="false" outlineLevel="0" collapsed="false">
      <c r="A68" s="30" t="n">
        <v>61</v>
      </c>
      <c r="B68" s="31" t="s">
        <v>197</v>
      </c>
      <c r="C68" s="32" t="n">
        <v>14476.68</v>
      </c>
      <c r="D68" s="31" t="s">
        <v>198</v>
      </c>
      <c r="E68" s="31" t="s">
        <v>48</v>
      </c>
      <c r="F68" s="33" t="n">
        <v>3</v>
      </c>
      <c r="G68" s="30" t="s">
        <v>46</v>
      </c>
      <c r="H68" s="31" t="s">
        <v>199</v>
      </c>
    </row>
    <row r="69" customFormat="false" ht="15" hidden="false" customHeight="false" outlineLevel="0" collapsed="false">
      <c r="A69" s="34" t="n">
        <v>62</v>
      </c>
      <c r="B69" s="35" t="s">
        <v>200</v>
      </c>
      <c r="C69" s="36" t="n">
        <v>14277.35</v>
      </c>
      <c r="D69" s="43" t="s">
        <v>97</v>
      </c>
      <c r="E69" s="35" t="s">
        <v>51</v>
      </c>
      <c r="F69" s="37" t="n">
        <v>3.4</v>
      </c>
      <c r="G69" s="34" t="s">
        <v>46</v>
      </c>
      <c r="H69" s="35"/>
    </row>
    <row r="70" customFormat="false" ht="15" hidden="false" customHeight="false" outlineLevel="0" collapsed="false">
      <c r="A70" s="38" t="n">
        <v>63</v>
      </c>
      <c r="B70" s="39" t="s">
        <v>201</v>
      </c>
      <c r="C70" s="40" t="n">
        <v>13532.94</v>
      </c>
      <c r="D70" s="39" t="s">
        <v>202</v>
      </c>
      <c r="E70" s="39" t="s">
        <v>48</v>
      </c>
      <c r="F70" s="41" t="n">
        <v>4.2</v>
      </c>
      <c r="G70" s="42" t="s">
        <v>45</v>
      </c>
      <c r="H70" s="39" t="s">
        <v>203</v>
      </c>
    </row>
    <row r="71" customFormat="false" ht="15" hidden="false" customHeight="false" outlineLevel="0" collapsed="false">
      <c r="A71" s="34" t="n">
        <v>64</v>
      </c>
      <c r="B71" s="35" t="s">
        <v>204</v>
      </c>
      <c r="C71" s="36" t="n">
        <v>13256.05</v>
      </c>
      <c r="D71" s="35" t="s">
        <v>205</v>
      </c>
      <c r="E71" s="35" t="s">
        <v>48</v>
      </c>
      <c r="F71" s="37" t="n">
        <v>3.4</v>
      </c>
      <c r="G71" s="34" t="s">
        <v>46</v>
      </c>
      <c r="H71" s="35"/>
    </row>
    <row r="72" customFormat="false" ht="15" hidden="false" customHeight="false" outlineLevel="0" collapsed="false">
      <c r="A72" s="30" t="n">
        <v>65</v>
      </c>
      <c r="B72" s="31" t="s">
        <v>206</v>
      </c>
      <c r="C72" s="32" t="n">
        <v>12832.02</v>
      </c>
      <c r="D72" s="31" t="s">
        <v>207</v>
      </c>
      <c r="E72" s="31" t="s">
        <v>50</v>
      </c>
      <c r="F72" s="33" t="n">
        <v>1</v>
      </c>
      <c r="G72" s="30" t="s">
        <v>46</v>
      </c>
      <c r="H72" s="31"/>
    </row>
    <row r="73" customFormat="false" ht="15" hidden="false" customHeight="false" outlineLevel="0" collapsed="false">
      <c r="A73" s="34" t="n">
        <v>66</v>
      </c>
      <c r="B73" s="35" t="s">
        <v>208</v>
      </c>
      <c r="C73" s="36" t="n">
        <v>12779.62</v>
      </c>
      <c r="D73" s="35" t="s">
        <v>209</v>
      </c>
      <c r="E73" s="35" t="s">
        <v>48</v>
      </c>
      <c r="F73" s="37" t="n">
        <v>3</v>
      </c>
      <c r="G73" s="34" t="s">
        <v>46</v>
      </c>
      <c r="H73" s="35" t="s">
        <v>210</v>
      </c>
    </row>
    <row r="74" customFormat="false" ht="15" hidden="false" customHeight="false" outlineLevel="0" collapsed="false">
      <c r="A74" s="30" t="n">
        <v>67</v>
      </c>
      <c r="B74" s="31" t="s">
        <v>211</v>
      </c>
      <c r="C74" s="32" t="n">
        <v>12768.05</v>
      </c>
      <c r="D74" s="31" t="s">
        <v>212</v>
      </c>
      <c r="E74" s="31" t="s">
        <v>50</v>
      </c>
      <c r="F74" s="33" t="n">
        <v>1</v>
      </c>
      <c r="G74" s="30" t="s">
        <v>46</v>
      </c>
      <c r="H74" s="31"/>
    </row>
    <row r="75" customFormat="false" ht="15" hidden="false" customHeight="false" outlineLevel="0" collapsed="false">
      <c r="A75" s="34" t="n">
        <v>68</v>
      </c>
      <c r="B75" s="35" t="s">
        <v>213</v>
      </c>
      <c r="C75" s="36" t="n">
        <v>12382.66</v>
      </c>
      <c r="D75" s="35" t="s">
        <v>214</v>
      </c>
      <c r="E75" s="35" t="s">
        <v>48</v>
      </c>
      <c r="F75" s="37" t="n">
        <v>1.8</v>
      </c>
      <c r="G75" s="34" t="s">
        <v>46</v>
      </c>
      <c r="H75" s="35"/>
    </row>
    <row r="76" customFormat="false" ht="15" hidden="false" customHeight="false" outlineLevel="0" collapsed="false">
      <c r="A76" s="30" t="n">
        <v>69</v>
      </c>
      <c r="B76" s="31" t="s">
        <v>215</v>
      </c>
      <c r="C76" s="32" t="n">
        <v>12197.03</v>
      </c>
      <c r="D76" s="31" t="s">
        <v>216</v>
      </c>
      <c r="E76" s="31" t="s">
        <v>49</v>
      </c>
      <c r="F76" s="33" t="n">
        <v>1</v>
      </c>
      <c r="G76" s="30" t="s">
        <v>46</v>
      </c>
      <c r="H76" s="31"/>
    </row>
    <row r="77" customFormat="false" ht="15" hidden="false" customHeight="false" outlineLevel="0" collapsed="false">
      <c r="A77" s="34" t="n">
        <v>70</v>
      </c>
      <c r="B77" s="35" t="s">
        <v>217</v>
      </c>
      <c r="C77" s="36" t="n">
        <v>12166.62</v>
      </c>
      <c r="D77" s="35" t="s">
        <v>218</v>
      </c>
      <c r="E77" s="35" t="s">
        <v>48</v>
      </c>
      <c r="F77" s="37" t="n">
        <v>1.4</v>
      </c>
      <c r="G77" s="34" t="s">
        <v>46</v>
      </c>
      <c r="H77" s="35"/>
    </row>
    <row r="78" customFormat="false" ht="15" hidden="false" customHeight="false" outlineLevel="0" collapsed="false">
      <c r="A78" s="30" t="n">
        <v>71</v>
      </c>
      <c r="B78" s="31" t="s">
        <v>219</v>
      </c>
      <c r="C78" s="32" t="n">
        <v>11898.24</v>
      </c>
      <c r="D78" s="31" t="s">
        <v>220</v>
      </c>
      <c r="E78" s="31" t="s">
        <v>50</v>
      </c>
      <c r="F78" s="33" t="n">
        <v>1</v>
      </c>
      <c r="G78" s="30" t="s">
        <v>46</v>
      </c>
      <c r="H78" s="31" t="s">
        <v>221</v>
      </c>
    </row>
    <row r="79" customFormat="false" ht="15" hidden="false" customHeight="false" outlineLevel="0" collapsed="false">
      <c r="A79" s="34" t="n">
        <v>72</v>
      </c>
      <c r="B79" s="35" t="s">
        <v>222</v>
      </c>
      <c r="C79" s="36" t="n">
        <v>11877.87</v>
      </c>
      <c r="D79" s="35" t="s">
        <v>223</v>
      </c>
      <c r="E79" s="35" t="s">
        <v>49</v>
      </c>
      <c r="F79" s="37" t="n">
        <v>2.4</v>
      </c>
      <c r="G79" s="34" t="s">
        <v>46</v>
      </c>
      <c r="H79" s="35" t="s">
        <v>224</v>
      </c>
    </row>
    <row r="80" customFormat="false" ht="15" hidden="false" customHeight="false" outlineLevel="0" collapsed="false">
      <c r="A80" s="30" t="n">
        <v>73</v>
      </c>
      <c r="B80" s="31" t="s">
        <v>225</v>
      </c>
      <c r="C80" s="32" t="n">
        <v>11796.99</v>
      </c>
      <c r="D80" s="31" t="s">
        <v>226</v>
      </c>
      <c r="E80" s="31" t="s">
        <v>48</v>
      </c>
      <c r="F80" s="33" t="n">
        <v>2.8</v>
      </c>
      <c r="G80" s="30" t="s">
        <v>46</v>
      </c>
      <c r="H80" s="31"/>
    </row>
    <row r="81" customFormat="false" ht="15" hidden="false" customHeight="false" outlineLevel="0" collapsed="false">
      <c r="A81" s="38" t="n">
        <v>74</v>
      </c>
      <c r="B81" s="39" t="s">
        <v>227</v>
      </c>
      <c r="C81" s="40" t="n">
        <v>11704.9</v>
      </c>
      <c r="D81" s="39" t="s">
        <v>228</v>
      </c>
      <c r="E81" s="39" t="s">
        <v>48</v>
      </c>
      <c r="F81" s="41" t="n">
        <v>4</v>
      </c>
      <c r="G81" s="42" t="s">
        <v>45</v>
      </c>
      <c r="H81" s="39"/>
    </row>
    <row r="82" customFormat="false" ht="15" hidden="false" customHeight="false" outlineLevel="0" collapsed="false">
      <c r="A82" s="30" t="n">
        <v>75</v>
      </c>
      <c r="B82" s="31" t="s">
        <v>229</v>
      </c>
      <c r="C82" s="32" t="n">
        <v>11531.62</v>
      </c>
      <c r="D82" s="31" t="s">
        <v>230</v>
      </c>
      <c r="E82" s="31" t="s">
        <v>48</v>
      </c>
      <c r="F82" s="33" t="n">
        <v>2.8</v>
      </c>
      <c r="G82" s="30" t="s">
        <v>46</v>
      </c>
      <c r="H82" s="31"/>
    </row>
    <row r="83" customFormat="false" ht="15" hidden="false" customHeight="false" outlineLevel="0" collapsed="false">
      <c r="A83" s="34" t="n">
        <v>76</v>
      </c>
      <c r="B83" s="35" t="s">
        <v>231</v>
      </c>
      <c r="C83" s="36" t="n">
        <v>11307.48</v>
      </c>
      <c r="D83" s="35" t="s">
        <v>232</v>
      </c>
      <c r="E83" s="35" t="s">
        <v>50</v>
      </c>
      <c r="F83" s="37" t="n">
        <v>1</v>
      </c>
      <c r="G83" s="34" t="s">
        <v>46</v>
      </c>
      <c r="H83" s="35"/>
    </row>
    <row r="84" customFormat="false" ht="15" hidden="false" customHeight="false" outlineLevel="0" collapsed="false">
      <c r="A84" s="30" t="n">
        <v>77</v>
      </c>
      <c r="B84" s="31" t="s">
        <v>233</v>
      </c>
      <c r="C84" s="32" t="n">
        <v>11254.82</v>
      </c>
      <c r="D84" s="44" t="s">
        <v>97</v>
      </c>
      <c r="E84" s="31" t="s">
        <v>51</v>
      </c>
      <c r="F84" s="33" t="n">
        <v>3.4</v>
      </c>
      <c r="G84" s="30" t="s">
        <v>46</v>
      </c>
      <c r="H84" s="31" t="s">
        <v>234</v>
      </c>
    </row>
    <row r="85" customFormat="false" ht="15" hidden="false" customHeight="false" outlineLevel="0" collapsed="false">
      <c r="A85" s="34" t="n">
        <v>78</v>
      </c>
      <c r="B85" s="35" t="s">
        <v>235</v>
      </c>
      <c r="C85" s="36" t="n">
        <v>11243.8</v>
      </c>
      <c r="D85" s="35" t="s">
        <v>236</v>
      </c>
      <c r="E85" s="35" t="s">
        <v>48</v>
      </c>
      <c r="F85" s="37" t="n">
        <v>1</v>
      </c>
      <c r="G85" s="34" t="s">
        <v>46</v>
      </c>
      <c r="H85" s="35"/>
    </row>
    <row r="86" customFormat="false" ht="15" hidden="false" customHeight="false" outlineLevel="0" collapsed="false">
      <c r="A86" s="30" t="n">
        <v>79</v>
      </c>
      <c r="B86" s="31" t="s">
        <v>237</v>
      </c>
      <c r="C86" s="32" t="n">
        <v>11177.56</v>
      </c>
      <c r="D86" s="31" t="s">
        <v>238</v>
      </c>
      <c r="E86" s="31" t="s">
        <v>48</v>
      </c>
      <c r="F86" s="33" t="n">
        <v>1</v>
      </c>
      <c r="G86" s="30" t="s">
        <v>46</v>
      </c>
      <c r="H86" s="31"/>
    </row>
    <row r="87" customFormat="false" ht="15" hidden="false" customHeight="false" outlineLevel="0" collapsed="false">
      <c r="A87" s="34" t="n">
        <v>80</v>
      </c>
      <c r="B87" s="35" t="s">
        <v>239</v>
      </c>
      <c r="C87" s="36" t="n">
        <v>11167.95</v>
      </c>
      <c r="D87" s="35" t="s">
        <v>240</v>
      </c>
      <c r="E87" s="35" t="s">
        <v>50</v>
      </c>
      <c r="F87" s="37" t="n">
        <v>1</v>
      </c>
      <c r="G87" s="34" t="s">
        <v>46</v>
      </c>
      <c r="H87" s="35"/>
    </row>
    <row r="88" customFormat="false" ht="15" hidden="false" customHeight="false" outlineLevel="0" collapsed="false">
      <c r="A88" s="38" t="n">
        <v>81</v>
      </c>
      <c r="B88" s="39" t="s">
        <v>241</v>
      </c>
      <c r="C88" s="40" t="n">
        <v>11049.78</v>
      </c>
      <c r="D88" s="39" t="s">
        <v>242</v>
      </c>
      <c r="E88" s="39" t="s">
        <v>48</v>
      </c>
      <c r="F88" s="41" t="n">
        <v>4</v>
      </c>
      <c r="G88" s="42" t="s">
        <v>45</v>
      </c>
      <c r="H88" s="39" t="s">
        <v>243</v>
      </c>
    </row>
    <row r="89" customFormat="false" ht="15" hidden="false" customHeight="false" outlineLevel="0" collapsed="false">
      <c r="A89" s="34" t="n">
        <v>82</v>
      </c>
      <c r="B89" s="35" t="s">
        <v>244</v>
      </c>
      <c r="C89" s="36" t="n">
        <v>10793.63</v>
      </c>
      <c r="D89" s="35" t="s">
        <v>245</v>
      </c>
      <c r="E89" s="35" t="s">
        <v>48</v>
      </c>
      <c r="F89" s="37" t="n">
        <v>2.6</v>
      </c>
      <c r="G89" s="34" t="s">
        <v>46</v>
      </c>
      <c r="H89" s="35" t="s">
        <v>246</v>
      </c>
    </row>
    <row r="90" customFormat="false" ht="15" hidden="false" customHeight="false" outlineLevel="0" collapsed="false">
      <c r="A90" s="30" t="n">
        <v>83</v>
      </c>
      <c r="B90" s="31" t="s">
        <v>247</v>
      </c>
      <c r="C90" s="32" t="n">
        <v>10566.24</v>
      </c>
      <c r="D90" s="31" t="s">
        <v>248</v>
      </c>
      <c r="E90" s="31" t="s">
        <v>48</v>
      </c>
      <c r="F90" s="33" t="n">
        <v>3.4</v>
      </c>
      <c r="G90" s="30" t="s">
        <v>46</v>
      </c>
      <c r="H90" s="31" t="s">
        <v>249</v>
      </c>
    </row>
    <row r="91" customFormat="false" ht="15" hidden="false" customHeight="false" outlineLevel="0" collapsed="false">
      <c r="A91" s="34" t="n">
        <v>84</v>
      </c>
      <c r="B91" s="35" t="s">
        <v>250</v>
      </c>
      <c r="C91" s="36" t="n">
        <v>10516.44</v>
      </c>
      <c r="D91" s="43" t="s">
        <v>97</v>
      </c>
      <c r="E91" s="35" t="s">
        <v>51</v>
      </c>
      <c r="F91" s="37" t="n">
        <v>3.4</v>
      </c>
      <c r="G91" s="34" t="s">
        <v>46</v>
      </c>
      <c r="H91" s="35"/>
    </row>
    <row r="92" customFormat="false" ht="15" hidden="false" customHeight="false" outlineLevel="0" collapsed="false">
      <c r="A92" s="30" t="n">
        <v>85</v>
      </c>
      <c r="B92" s="31" t="s">
        <v>251</v>
      </c>
      <c r="C92" s="32" t="n">
        <v>10500.18</v>
      </c>
      <c r="D92" s="31" t="s">
        <v>252</v>
      </c>
      <c r="E92" s="31" t="s">
        <v>48</v>
      </c>
      <c r="F92" s="33" t="n">
        <v>3.2</v>
      </c>
      <c r="G92" s="30" t="s">
        <v>46</v>
      </c>
      <c r="H92" s="31" t="s">
        <v>253</v>
      </c>
    </row>
    <row r="93" customFormat="false" ht="15" hidden="false" customHeight="false" outlineLevel="0" collapsed="false">
      <c r="A93" s="38" t="n">
        <v>86</v>
      </c>
      <c r="B93" s="39" t="s">
        <v>254</v>
      </c>
      <c r="C93" s="40" t="n">
        <v>10459.47</v>
      </c>
      <c r="D93" s="39" t="s">
        <v>255</v>
      </c>
      <c r="E93" s="39" t="s">
        <v>48</v>
      </c>
      <c r="F93" s="41" t="n">
        <v>4</v>
      </c>
      <c r="G93" s="42" t="s">
        <v>45</v>
      </c>
      <c r="H93" s="39"/>
    </row>
    <row r="94" customFormat="false" ht="15" hidden="false" customHeight="false" outlineLevel="0" collapsed="false">
      <c r="A94" s="38" t="n">
        <v>87</v>
      </c>
      <c r="B94" s="39" t="s">
        <v>256</v>
      </c>
      <c r="C94" s="40" t="n">
        <v>10317.26</v>
      </c>
      <c r="D94" s="39" t="s">
        <v>257</v>
      </c>
      <c r="E94" s="39" t="s">
        <v>48</v>
      </c>
      <c r="F94" s="41" t="n">
        <v>4</v>
      </c>
      <c r="G94" s="42" t="s">
        <v>45</v>
      </c>
      <c r="H94" s="39"/>
    </row>
    <row r="95" customFormat="false" ht="15" hidden="false" customHeight="false" outlineLevel="0" collapsed="false">
      <c r="A95" s="34" t="n">
        <v>88</v>
      </c>
      <c r="B95" s="35" t="s">
        <v>258</v>
      </c>
      <c r="C95" s="36" t="n">
        <v>10248.6</v>
      </c>
      <c r="D95" s="35" t="s">
        <v>259</v>
      </c>
      <c r="E95" s="35" t="s">
        <v>48</v>
      </c>
      <c r="F95" s="37" t="n">
        <v>2.2</v>
      </c>
      <c r="G95" s="34" t="s">
        <v>46</v>
      </c>
      <c r="H95" s="35"/>
    </row>
    <row r="96" customFormat="false" ht="15" hidden="false" customHeight="false" outlineLevel="0" collapsed="false">
      <c r="A96" s="30" t="n">
        <v>89</v>
      </c>
      <c r="B96" s="31" t="s">
        <v>260</v>
      </c>
      <c r="C96" s="32" t="n">
        <v>10195.63</v>
      </c>
      <c r="D96" s="31" t="s">
        <v>261</v>
      </c>
      <c r="E96" s="31" t="s">
        <v>49</v>
      </c>
      <c r="F96" s="33" t="n">
        <v>2.4</v>
      </c>
      <c r="G96" s="30" t="s">
        <v>46</v>
      </c>
      <c r="H96" s="31" t="s">
        <v>262</v>
      </c>
    </row>
    <row r="97" customFormat="false" ht="15" hidden="false" customHeight="false" outlineLevel="0" collapsed="false">
      <c r="A97" s="34" t="n">
        <v>90</v>
      </c>
      <c r="B97" s="35" t="s">
        <v>263</v>
      </c>
      <c r="C97" s="36" t="n">
        <v>10186</v>
      </c>
      <c r="D97" s="35" t="s">
        <v>264</v>
      </c>
      <c r="E97" s="35" t="s">
        <v>49</v>
      </c>
      <c r="F97" s="37" t="n">
        <v>2.4</v>
      </c>
      <c r="G97" s="34" t="s">
        <v>46</v>
      </c>
      <c r="H97" s="35"/>
    </row>
    <row r="98" customFormat="false" ht="15" hidden="false" customHeight="false" outlineLevel="0" collapsed="false">
      <c r="A98" s="30" t="n">
        <v>91</v>
      </c>
      <c r="B98" s="31" t="s">
        <v>265</v>
      </c>
      <c r="C98" s="32" t="n">
        <v>10091.83</v>
      </c>
      <c r="D98" s="31" t="s">
        <v>266</v>
      </c>
      <c r="E98" s="31" t="s">
        <v>49</v>
      </c>
      <c r="F98" s="33" t="n">
        <v>1.8</v>
      </c>
      <c r="G98" s="30" t="s">
        <v>46</v>
      </c>
      <c r="H98" s="31"/>
    </row>
    <row r="99" customFormat="false" ht="15" hidden="false" customHeight="false" outlineLevel="0" collapsed="false">
      <c r="A99" s="34" t="n">
        <v>92</v>
      </c>
      <c r="B99" s="35" t="s">
        <v>267</v>
      </c>
      <c r="C99" s="36" t="n">
        <v>10056.04</v>
      </c>
      <c r="D99" s="35" t="s">
        <v>268</v>
      </c>
      <c r="E99" s="35" t="s">
        <v>48</v>
      </c>
      <c r="F99" s="37" t="n">
        <v>2.4</v>
      </c>
      <c r="G99" s="34" t="s">
        <v>46</v>
      </c>
      <c r="H99" s="35"/>
    </row>
    <row r="100" customFormat="false" ht="15" hidden="false" customHeight="false" outlineLevel="0" collapsed="false">
      <c r="A100" s="30" t="n">
        <v>93</v>
      </c>
      <c r="B100" s="31" t="s">
        <v>269</v>
      </c>
      <c r="C100" s="32" t="n">
        <v>10017.39</v>
      </c>
      <c r="D100" s="31" t="s">
        <v>270</v>
      </c>
      <c r="E100" s="31" t="s">
        <v>48</v>
      </c>
      <c r="F100" s="33" t="n">
        <v>3.2</v>
      </c>
      <c r="G100" s="30" t="s">
        <v>46</v>
      </c>
      <c r="H100" s="31"/>
    </row>
    <row r="101" customFormat="false" ht="15" hidden="false" customHeight="false" outlineLevel="0" collapsed="false">
      <c r="A101" s="38" t="n">
        <v>94</v>
      </c>
      <c r="B101" s="39" t="s">
        <v>271</v>
      </c>
      <c r="C101" s="40" t="n">
        <v>9986.47</v>
      </c>
      <c r="D101" s="39" t="s">
        <v>272</v>
      </c>
      <c r="E101" s="39" t="s">
        <v>48</v>
      </c>
      <c r="F101" s="41" t="n">
        <v>4.2</v>
      </c>
      <c r="G101" s="42" t="s">
        <v>45</v>
      </c>
      <c r="H101" s="39" t="s">
        <v>273</v>
      </c>
    </row>
    <row r="102" customFormat="false" ht="15" hidden="false" customHeight="false" outlineLevel="0" collapsed="false">
      <c r="A102" s="38" t="n">
        <v>95</v>
      </c>
      <c r="B102" s="39" t="s">
        <v>274</v>
      </c>
      <c r="C102" s="40" t="n">
        <v>9958.49</v>
      </c>
      <c r="D102" s="39" t="s">
        <v>275</v>
      </c>
      <c r="E102" s="39" t="s">
        <v>48</v>
      </c>
      <c r="F102" s="41" t="n">
        <v>4.2</v>
      </c>
      <c r="G102" s="42" t="s">
        <v>45</v>
      </c>
      <c r="H102" s="39"/>
    </row>
    <row r="103" customFormat="false" ht="15" hidden="false" customHeight="false" outlineLevel="0" collapsed="false">
      <c r="A103" s="34" t="n">
        <v>96</v>
      </c>
      <c r="B103" s="35" t="s">
        <v>276</v>
      </c>
      <c r="C103" s="36" t="n">
        <v>9930.09</v>
      </c>
      <c r="D103" s="35" t="s">
        <v>277</v>
      </c>
      <c r="E103" s="35" t="s">
        <v>49</v>
      </c>
      <c r="F103" s="37" t="n">
        <v>2.4</v>
      </c>
      <c r="G103" s="34" t="s">
        <v>46</v>
      </c>
      <c r="H103" s="35"/>
    </row>
    <row r="104" customFormat="false" ht="15" hidden="false" customHeight="false" outlineLevel="0" collapsed="false">
      <c r="A104" s="38" t="n">
        <v>97</v>
      </c>
      <c r="B104" s="39" t="s">
        <v>278</v>
      </c>
      <c r="C104" s="40" t="n">
        <v>9893.21</v>
      </c>
      <c r="D104" s="39" t="s">
        <v>279</v>
      </c>
      <c r="E104" s="39" t="s">
        <v>48</v>
      </c>
      <c r="F104" s="41" t="n">
        <v>4</v>
      </c>
      <c r="G104" s="42" t="s">
        <v>45</v>
      </c>
      <c r="H104" s="39"/>
    </row>
    <row r="105" customFormat="false" ht="15" hidden="false" customHeight="false" outlineLevel="0" collapsed="false">
      <c r="A105" s="34" t="n">
        <v>98</v>
      </c>
      <c r="B105" s="35" t="s">
        <v>280</v>
      </c>
      <c r="C105" s="36" t="n">
        <v>9823</v>
      </c>
      <c r="D105" s="35" t="s">
        <v>281</v>
      </c>
      <c r="E105" s="35" t="s">
        <v>48</v>
      </c>
      <c r="F105" s="37" t="n">
        <v>2.4</v>
      </c>
      <c r="G105" s="34" t="s">
        <v>46</v>
      </c>
      <c r="H105" s="35"/>
    </row>
    <row r="106" customFormat="false" ht="15" hidden="false" customHeight="false" outlineLevel="0" collapsed="false">
      <c r="A106" s="30" t="n">
        <v>99</v>
      </c>
      <c r="B106" s="31" t="s">
        <v>282</v>
      </c>
      <c r="C106" s="32" t="n">
        <v>9758.96</v>
      </c>
      <c r="D106" s="31" t="s">
        <v>283</v>
      </c>
      <c r="E106" s="31" t="s">
        <v>50</v>
      </c>
      <c r="F106" s="33" t="n">
        <v>1</v>
      </c>
      <c r="G106" s="30" t="s">
        <v>46</v>
      </c>
      <c r="H106" s="31"/>
    </row>
    <row r="107" customFormat="false" ht="15" hidden="false" customHeight="false" outlineLevel="0" collapsed="false">
      <c r="A107" s="34" t="n">
        <v>100</v>
      </c>
      <c r="B107" s="35" t="s">
        <v>284</v>
      </c>
      <c r="C107" s="36" t="n">
        <v>9737.29</v>
      </c>
      <c r="D107" s="35" t="s">
        <v>285</v>
      </c>
      <c r="E107" s="35" t="s">
        <v>48</v>
      </c>
      <c r="F107" s="37" t="n">
        <v>2.4</v>
      </c>
      <c r="G107" s="34" t="s">
        <v>46</v>
      </c>
      <c r="H107" s="35" t="s">
        <v>286</v>
      </c>
    </row>
    <row r="108" customFormat="false" ht="15" hidden="false" customHeight="false" outlineLevel="0" collapsed="false">
      <c r="A108" s="45"/>
      <c r="B108" s="46" t="s">
        <v>287</v>
      </c>
      <c r="C108" s="47" t="n">
        <f aca="false">SUM(C8:C107)</f>
        <v>2644316.64</v>
      </c>
      <c r="D108" s="45"/>
      <c r="E108" s="45"/>
      <c r="F108" s="45"/>
      <c r="G108" s="45"/>
      <c r="H108" s="45"/>
    </row>
    <row r="110" customFormat="false" ht="15" hidden="false" customHeight="false" outlineLevel="0" collapsed="false">
      <c r="B110" s="48" t="s">
        <v>288</v>
      </c>
    </row>
    <row r="111" customFormat="false" ht="15" hidden="false" customHeight="false" outlineLevel="0" collapsed="false">
      <c r="B111" s="28" t="s">
        <v>289</v>
      </c>
    </row>
    <row r="112" customFormat="false" ht="15" hidden="false" customHeight="false" outlineLevel="0" collapsed="false">
      <c r="B112" s="28" t="s">
        <v>290</v>
      </c>
    </row>
    <row r="113" customFormat="false" ht="15" hidden="false" customHeight="false" outlineLevel="0" collapsed="false">
      <c r="B113" s="28" t="s">
        <v>291</v>
      </c>
    </row>
    <row r="114" customFormat="false" ht="15" hidden="false" customHeight="false" outlineLevel="0" collapsed="false">
      <c r="B114" s="28" t="s">
        <v>292</v>
      </c>
    </row>
    <row r="116" customFormat="false" ht="3" hidden="false" customHeight="true" outlineLevel="0" collapsed="false">
      <c r="A116" s="14"/>
      <c r="B116" s="14"/>
      <c r="C116" s="14"/>
      <c r="D116" s="14"/>
      <c r="E116" s="14"/>
      <c r="F116" s="14"/>
      <c r="G116" s="14"/>
      <c r="H116" s="14"/>
    </row>
    <row r="117" customFormat="false" ht="15" hidden="false" customHeight="true" outlineLevel="0" collapsed="false">
      <c r="A117" s="15" t="s">
        <v>29</v>
      </c>
      <c r="B117" s="15"/>
      <c r="C117" s="15"/>
      <c r="D117" s="15"/>
      <c r="E117" s="15"/>
      <c r="F117" s="15"/>
      <c r="G117" s="15"/>
      <c r="H117" s="15"/>
    </row>
    <row r="118" customFormat="false" ht="15" hidden="false" customHeight="false" outlineLevel="0" collapsed="false">
      <c r="A118" s="15"/>
      <c r="B118" s="15"/>
      <c r="C118" s="15"/>
      <c r="D118" s="15"/>
      <c r="E118" s="15"/>
      <c r="F118" s="15"/>
      <c r="G118" s="15"/>
      <c r="H118" s="15"/>
    </row>
    <row r="119" customFormat="false" ht="15" hidden="false" customHeight="false" outlineLevel="0" collapsed="false">
      <c r="A119" s="16" t="s">
        <v>30</v>
      </c>
      <c r="B119" s="16"/>
      <c r="C119" s="16"/>
      <c r="D119" s="16"/>
      <c r="E119" s="16"/>
      <c r="F119" s="16"/>
      <c r="G119" s="16"/>
      <c r="H119" s="16"/>
    </row>
  </sheetData>
  <autoFilter ref="A7:H107"/>
  <mergeCells count="6">
    <mergeCell ref="A1:H1"/>
    <mergeCell ref="A3:H3"/>
    <mergeCell ref="A4:H5"/>
    <mergeCell ref="A116:H116"/>
    <mergeCell ref="A117:H118"/>
    <mergeCell ref="A119:H119"/>
  </mergeCells>
  <printOptions headings="false" gridLines="false" gridLinesSet="true" horizontalCentered="fals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&amp;L&amp;8 &amp;K8c7440BIC REA LLC&amp;R&amp;8 &amp;K8c7440Tax Delinquency Watchlist · 9 Sep 2026</oddHeader>
    <oddFooter>&amp;L&amp;8 &amp;K6b6b6bConfidential — internal working document&amp;R&amp;8 &amp;K6b6b6bPage &amp;P of &amp;N</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C7440"/>
    <pageSetUpPr fitToPage="true"/>
  </sheetPr>
  <dimension ref="A1:G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3"/>
    <col collapsed="false" customWidth="true" hidden="false" outlineLevel="0" max="3" min="3" style="0" width="15"/>
    <col collapsed="false" customWidth="true" hidden="false" outlineLevel="0" max="4" min="4" style="0" width="30"/>
    <col collapsed="false" customWidth="true" hidden="false" outlineLevel="0" max="5" min="5" style="0" width="12"/>
    <col collapsed="false" customWidth="true" hidden="false" outlineLevel="0" max="6" min="6" style="0" width="8"/>
    <col collapsed="false" customWidth="true" hidden="false" outlineLevel="0" max="7" min="7" style="0" width="9"/>
  </cols>
  <sheetData>
    <row r="1" customFormat="false" ht="30" hidden="false" customHeight="true" outlineLevel="0" collapsed="false">
      <c r="A1" s="18" t="s">
        <v>0</v>
      </c>
      <c r="B1" s="18"/>
      <c r="C1" s="18"/>
      <c r="D1" s="18"/>
      <c r="E1" s="18"/>
      <c r="F1" s="18"/>
      <c r="G1" s="18"/>
    </row>
    <row r="2" customFormat="false" ht="3" hidden="false" customHeight="true" outlineLevel="0" collapsed="false">
      <c r="A2" s="4"/>
      <c r="B2" s="4"/>
      <c r="C2" s="4"/>
      <c r="D2" s="4"/>
      <c r="E2" s="4"/>
      <c r="F2" s="4"/>
      <c r="G2" s="4"/>
    </row>
    <row r="3" customFormat="false" ht="21.75" hidden="false" customHeight="true" outlineLevel="0" collapsed="false">
      <c r="A3" s="19" t="s">
        <v>293</v>
      </c>
      <c r="B3" s="19"/>
      <c r="C3" s="19"/>
      <c r="D3" s="19"/>
      <c r="E3" s="19"/>
      <c r="F3" s="19"/>
      <c r="G3" s="19"/>
    </row>
    <row r="4" customFormat="false" ht="15" hidden="false" customHeight="true" outlineLevel="0" collapsed="false">
      <c r="A4" s="15" t="s">
        <v>294</v>
      </c>
      <c r="B4" s="15"/>
      <c r="C4" s="15"/>
      <c r="D4" s="15"/>
      <c r="E4" s="15"/>
      <c r="F4" s="15"/>
      <c r="G4" s="15"/>
    </row>
    <row r="5" customFormat="false" ht="15" hidden="false" customHeight="false" outlineLevel="0" collapsed="false">
      <c r="A5" s="15"/>
      <c r="B5" s="15"/>
      <c r="C5" s="15"/>
      <c r="D5" s="15"/>
      <c r="E5" s="15"/>
      <c r="F5" s="15"/>
      <c r="G5" s="15"/>
    </row>
    <row r="7" customFormat="false" ht="21.75" hidden="false" customHeight="true" outlineLevel="0" collapsed="false">
      <c r="A7" s="29" t="s">
        <v>295</v>
      </c>
      <c r="B7" s="29" t="s">
        <v>65</v>
      </c>
      <c r="C7" s="29" t="s">
        <v>66</v>
      </c>
      <c r="D7" s="29" t="s">
        <v>67</v>
      </c>
      <c r="E7" s="29" t="s">
        <v>68</v>
      </c>
      <c r="F7" s="29" t="s">
        <v>69</v>
      </c>
      <c r="G7" s="29" t="s">
        <v>70</v>
      </c>
    </row>
    <row r="8" customFormat="false" ht="15" hidden="false" customHeight="false" outlineLevel="0" collapsed="false">
      <c r="A8" s="30" t="n">
        <v>1</v>
      </c>
      <c r="B8" s="31" t="s">
        <v>72</v>
      </c>
      <c r="C8" s="32" t="n">
        <v>159963.48</v>
      </c>
      <c r="D8" s="31" t="s">
        <v>73</v>
      </c>
      <c r="E8" s="31" t="s">
        <v>49</v>
      </c>
      <c r="F8" s="33" t="n">
        <v>1.4</v>
      </c>
      <c r="G8" s="30" t="s">
        <v>46</v>
      </c>
    </row>
    <row r="9" customFormat="false" ht="15" hidden="false" customHeight="false" outlineLevel="0" collapsed="false">
      <c r="A9" s="34" t="n">
        <v>2</v>
      </c>
      <c r="B9" s="35" t="s">
        <v>77</v>
      </c>
      <c r="C9" s="36" t="n">
        <v>114597.51</v>
      </c>
      <c r="D9" s="35" t="s">
        <v>78</v>
      </c>
      <c r="E9" s="35" t="s">
        <v>48</v>
      </c>
      <c r="F9" s="37" t="n">
        <v>3.4</v>
      </c>
      <c r="G9" s="34" t="s">
        <v>46</v>
      </c>
    </row>
    <row r="10" customFormat="false" ht="15" hidden="false" customHeight="false" outlineLevel="0" collapsed="false">
      <c r="A10" s="38" t="n">
        <v>3</v>
      </c>
      <c r="B10" s="39" t="s">
        <v>85</v>
      </c>
      <c r="C10" s="40" t="n">
        <v>77697.48</v>
      </c>
      <c r="D10" s="39" t="s">
        <v>86</v>
      </c>
      <c r="E10" s="39" t="s">
        <v>49</v>
      </c>
      <c r="F10" s="41" t="n">
        <v>4.2</v>
      </c>
      <c r="G10" s="42" t="s">
        <v>45</v>
      </c>
    </row>
    <row r="11" customFormat="false" ht="15" hidden="false" customHeight="false" outlineLevel="0" collapsed="false">
      <c r="A11" s="34" t="n">
        <v>4</v>
      </c>
      <c r="B11" s="35" t="s">
        <v>89</v>
      </c>
      <c r="C11" s="36" t="n">
        <v>54188.15</v>
      </c>
      <c r="D11" s="35" t="s">
        <v>90</v>
      </c>
      <c r="E11" s="35" t="s">
        <v>48</v>
      </c>
      <c r="F11" s="37" t="n">
        <v>2</v>
      </c>
      <c r="G11" s="34" t="s">
        <v>46</v>
      </c>
    </row>
    <row r="12" customFormat="false" ht="15" hidden="false" customHeight="false" outlineLevel="0" collapsed="false">
      <c r="A12" s="30" t="n">
        <v>5</v>
      </c>
      <c r="B12" s="31" t="s">
        <v>91</v>
      </c>
      <c r="C12" s="32" t="n">
        <v>53813.13</v>
      </c>
      <c r="D12" s="31" t="s">
        <v>92</v>
      </c>
      <c r="E12" s="31" t="s">
        <v>49</v>
      </c>
      <c r="F12" s="33" t="n">
        <v>2.4</v>
      </c>
      <c r="G12" s="30" t="s">
        <v>46</v>
      </c>
    </row>
    <row r="13" customFormat="false" ht="15" hidden="false" customHeight="false" outlineLevel="0" collapsed="false">
      <c r="A13" s="34" t="n">
        <v>6</v>
      </c>
      <c r="B13" s="35" t="s">
        <v>93</v>
      </c>
      <c r="C13" s="36" t="n">
        <v>49766.54</v>
      </c>
      <c r="D13" s="35" t="s">
        <v>94</v>
      </c>
      <c r="E13" s="35" t="s">
        <v>48</v>
      </c>
      <c r="F13" s="37" t="n">
        <v>3.6</v>
      </c>
      <c r="G13" s="34" t="s">
        <v>46</v>
      </c>
    </row>
    <row r="14" customFormat="false" ht="15" hidden="false" customHeight="false" outlineLevel="0" collapsed="false">
      <c r="A14" s="30" t="n">
        <v>7</v>
      </c>
      <c r="B14" s="31" t="s">
        <v>98</v>
      </c>
      <c r="C14" s="32" t="n">
        <v>37708.83</v>
      </c>
      <c r="D14" s="31" t="s">
        <v>99</v>
      </c>
      <c r="E14" s="31" t="s">
        <v>48</v>
      </c>
      <c r="F14" s="33" t="n">
        <v>1</v>
      </c>
      <c r="G14" s="30" t="s">
        <v>46</v>
      </c>
    </row>
    <row r="15" customFormat="false" ht="15" hidden="false" customHeight="false" outlineLevel="0" collapsed="false">
      <c r="A15" s="34" t="n">
        <v>8</v>
      </c>
      <c r="B15" s="35" t="s">
        <v>102</v>
      </c>
      <c r="C15" s="36" t="n">
        <v>33566.26</v>
      </c>
      <c r="D15" s="35" t="s">
        <v>103</v>
      </c>
      <c r="E15" s="35" t="s">
        <v>48</v>
      </c>
      <c r="F15" s="37" t="n">
        <v>2.2</v>
      </c>
      <c r="G15" s="34" t="s">
        <v>46</v>
      </c>
    </row>
    <row r="16" customFormat="false" ht="15" hidden="false" customHeight="false" outlineLevel="0" collapsed="false">
      <c r="A16" s="30" t="n">
        <v>9</v>
      </c>
      <c r="B16" s="31" t="s">
        <v>104</v>
      </c>
      <c r="C16" s="32" t="n">
        <v>33427.69</v>
      </c>
      <c r="D16" s="31" t="s">
        <v>105</v>
      </c>
      <c r="E16" s="31" t="s">
        <v>49</v>
      </c>
      <c r="F16" s="33" t="n">
        <v>3.8</v>
      </c>
      <c r="G16" s="30" t="s">
        <v>46</v>
      </c>
    </row>
    <row r="17" customFormat="false" ht="15" hidden="false" customHeight="false" outlineLevel="0" collapsed="false">
      <c r="A17" s="34" t="n">
        <v>10</v>
      </c>
      <c r="B17" s="35" t="s">
        <v>106</v>
      </c>
      <c r="C17" s="36" t="n">
        <v>33416.04</v>
      </c>
      <c r="D17" s="35" t="s">
        <v>107</v>
      </c>
      <c r="E17" s="35" t="s">
        <v>49</v>
      </c>
      <c r="F17" s="37" t="n">
        <v>3.2</v>
      </c>
      <c r="G17" s="34" t="s">
        <v>46</v>
      </c>
    </row>
    <row r="18" customFormat="false" ht="15" hidden="false" customHeight="false" outlineLevel="0" collapsed="false">
      <c r="A18" s="30" t="n">
        <v>11</v>
      </c>
      <c r="B18" s="31" t="s">
        <v>108</v>
      </c>
      <c r="C18" s="32" t="n">
        <v>32614.64</v>
      </c>
      <c r="D18" s="31" t="s">
        <v>109</v>
      </c>
      <c r="E18" s="31" t="s">
        <v>48</v>
      </c>
      <c r="F18" s="33" t="n">
        <v>2.2</v>
      </c>
      <c r="G18" s="30" t="s">
        <v>46</v>
      </c>
    </row>
    <row r="19" customFormat="false" ht="15" hidden="false" customHeight="false" outlineLevel="0" collapsed="false">
      <c r="A19" s="34" t="n">
        <v>12</v>
      </c>
      <c r="B19" s="35" t="s">
        <v>112</v>
      </c>
      <c r="C19" s="36" t="n">
        <v>32003.76</v>
      </c>
      <c r="D19" s="35" t="s">
        <v>113</v>
      </c>
      <c r="E19" s="35" t="s">
        <v>48</v>
      </c>
      <c r="F19" s="37" t="n">
        <v>2.8</v>
      </c>
      <c r="G19" s="34" t="s">
        <v>46</v>
      </c>
    </row>
    <row r="20" customFormat="false" ht="15" hidden="false" customHeight="false" outlineLevel="0" collapsed="false">
      <c r="A20" s="30" t="n">
        <v>13</v>
      </c>
      <c r="B20" s="31" t="s">
        <v>114</v>
      </c>
      <c r="C20" s="32" t="n">
        <v>30210.24</v>
      </c>
      <c r="D20" s="31" t="s">
        <v>115</v>
      </c>
      <c r="E20" s="31" t="s">
        <v>49</v>
      </c>
      <c r="F20" s="33" t="n">
        <v>2.4</v>
      </c>
      <c r="G20" s="30" t="s">
        <v>46</v>
      </c>
    </row>
    <row r="21" customFormat="false" ht="15" hidden="false" customHeight="false" outlineLevel="0" collapsed="false">
      <c r="A21" s="34" t="n">
        <v>14</v>
      </c>
      <c r="B21" s="35" t="s">
        <v>124</v>
      </c>
      <c r="C21" s="36" t="n">
        <v>27444.65</v>
      </c>
      <c r="D21" s="35" t="s">
        <v>125</v>
      </c>
      <c r="E21" s="35" t="s">
        <v>48</v>
      </c>
      <c r="F21" s="37" t="n">
        <v>3</v>
      </c>
      <c r="G21" s="34" t="s">
        <v>46</v>
      </c>
    </row>
    <row r="22" customFormat="false" ht="15" hidden="false" customHeight="false" outlineLevel="0" collapsed="false">
      <c r="A22" s="30" t="n">
        <v>15</v>
      </c>
      <c r="B22" s="31" t="s">
        <v>126</v>
      </c>
      <c r="C22" s="32" t="n">
        <v>26933.21</v>
      </c>
      <c r="D22" s="31" t="s">
        <v>127</v>
      </c>
      <c r="E22" s="31" t="s">
        <v>48</v>
      </c>
      <c r="F22" s="33" t="n">
        <v>1.4</v>
      </c>
      <c r="G22" s="30" t="s">
        <v>46</v>
      </c>
    </row>
    <row r="23" customFormat="false" ht="15" hidden="false" customHeight="false" outlineLevel="0" collapsed="false">
      <c r="A23" s="34" t="n">
        <v>16</v>
      </c>
      <c r="B23" s="35" t="s">
        <v>128</v>
      </c>
      <c r="C23" s="36" t="n">
        <v>26739.77</v>
      </c>
      <c r="D23" s="35" t="s">
        <v>129</v>
      </c>
      <c r="E23" s="35" t="s">
        <v>48</v>
      </c>
      <c r="F23" s="37" t="n">
        <v>3.4</v>
      </c>
      <c r="G23" s="34" t="s">
        <v>46</v>
      </c>
    </row>
    <row r="24" customFormat="false" ht="15" hidden="false" customHeight="false" outlineLevel="0" collapsed="false">
      <c r="A24" s="38" t="n">
        <v>17</v>
      </c>
      <c r="B24" s="39" t="s">
        <v>130</v>
      </c>
      <c r="C24" s="40" t="n">
        <v>26193.31</v>
      </c>
      <c r="D24" s="39" t="s">
        <v>131</v>
      </c>
      <c r="E24" s="39" t="s">
        <v>48</v>
      </c>
      <c r="F24" s="41" t="n">
        <v>4</v>
      </c>
      <c r="G24" s="42" t="s">
        <v>45</v>
      </c>
    </row>
    <row r="25" customFormat="false" ht="15" hidden="false" customHeight="false" outlineLevel="0" collapsed="false">
      <c r="A25" s="34" t="n">
        <v>18</v>
      </c>
      <c r="B25" s="35" t="s">
        <v>132</v>
      </c>
      <c r="C25" s="36" t="n">
        <v>25301.17</v>
      </c>
      <c r="D25" s="35" t="s">
        <v>133</v>
      </c>
      <c r="E25" s="35" t="s">
        <v>49</v>
      </c>
      <c r="F25" s="37" t="n">
        <v>2.4</v>
      </c>
      <c r="G25" s="34" t="s">
        <v>46</v>
      </c>
    </row>
    <row r="26" customFormat="false" ht="15" hidden="false" customHeight="false" outlineLevel="0" collapsed="false">
      <c r="A26" s="30" t="n">
        <v>19</v>
      </c>
      <c r="B26" s="31" t="s">
        <v>134</v>
      </c>
      <c r="C26" s="32" t="n">
        <v>24829.22</v>
      </c>
      <c r="D26" s="31" t="s">
        <v>135</v>
      </c>
      <c r="E26" s="31" t="s">
        <v>48</v>
      </c>
      <c r="F26" s="33" t="n">
        <v>1.8</v>
      </c>
      <c r="G26" s="30" t="s">
        <v>46</v>
      </c>
    </row>
    <row r="27" customFormat="false" ht="15" hidden="false" customHeight="false" outlineLevel="0" collapsed="false">
      <c r="A27" s="34" t="n">
        <v>20</v>
      </c>
      <c r="B27" s="35" t="s">
        <v>136</v>
      </c>
      <c r="C27" s="36" t="n">
        <v>24636.12</v>
      </c>
      <c r="D27" s="35" t="s">
        <v>137</v>
      </c>
      <c r="E27" s="35" t="s">
        <v>48</v>
      </c>
      <c r="F27" s="37" t="n">
        <v>2.8</v>
      </c>
      <c r="G27" s="34" t="s">
        <v>46</v>
      </c>
    </row>
    <row r="28" customFormat="false" ht="15" hidden="false" customHeight="false" outlineLevel="0" collapsed="false">
      <c r="A28" s="30" t="n">
        <v>21</v>
      </c>
      <c r="B28" s="31" t="s">
        <v>138</v>
      </c>
      <c r="C28" s="32" t="n">
        <v>24341.33</v>
      </c>
      <c r="D28" s="31" t="s">
        <v>139</v>
      </c>
      <c r="E28" s="31" t="s">
        <v>48</v>
      </c>
      <c r="F28" s="33" t="n">
        <v>2.2</v>
      </c>
      <c r="G28" s="30" t="s">
        <v>46</v>
      </c>
    </row>
    <row r="29" customFormat="false" ht="15" hidden="false" customHeight="false" outlineLevel="0" collapsed="false">
      <c r="A29" s="34" t="n">
        <v>22</v>
      </c>
      <c r="B29" s="35" t="s">
        <v>140</v>
      </c>
      <c r="C29" s="36" t="n">
        <v>24240.51</v>
      </c>
      <c r="D29" s="35" t="s">
        <v>141</v>
      </c>
      <c r="E29" s="35" t="s">
        <v>48</v>
      </c>
      <c r="F29" s="37" t="n">
        <v>2.4</v>
      </c>
      <c r="G29" s="34" t="s">
        <v>46</v>
      </c>
    </row>
    <row r="30" customFormat="false" ht="15" hidden="false" customHeight="false" outlineLevel="0" collapsed="false">
      <c r="A30" s="30" t="n">
        <v>23</v>
      </c>
      <c r="B30" s="31" t="s">
        <v>143</v>
      </c>
      <c r="C30" s="32" t="n">
        <v>23551.46</v>
      </c>
      <c r="D30" s="31" t="s">
        <v>144</v>
      </c>
      <c r="E30" s="31" t="s">
        <v>48</v>
      </c>
      <c r="F30" s="33" t="n">
        <v>1.4</v>
      </c>
      <c r="G30" s="30" t="s">
        <v>46</v>
      </c>
    </row>
    <row r="31" customFormat="false" ht="15" hidden="false" customHeight="false" outlineLevel="0" collapsed="false">
      <c r="A31" s="34" t="n">
        <v>24</v>
      </c>
      <c r="B31" s="35" t="s">
        <v>145</v>
      </c>
      <c r="C31" s="36" t="n">
        <v>23180.53</v>
      </c>
      <c r="D31" s="35" t="s">
        <v>146</v>
      </c>
      <c r="E31" s="35" t="s">
        <v>48</v>
      </c>
      <c r="F31" s="37" t="n">
        <v>2.4</v>
      </c>
      <c r="G31" s="34" t="s">
        <v>46</v>
      </c>
    </row>
    <row r="32" customFormat="false" ht="15" hidden="false" customHeight="false" outlineLevel="0" collapsed="false">
      <c r="A32" s="30" t="n">
        <v>25</v>
      </c>
      <c r="B32" s="31" t="s">
        <v>147</v>
      </c>
      <c r="C32" s="32" t="n">
        <v>22485.38</v>
      </c>
      <c r="D32" s="31" t="s">
        <v>148</v>
      </c>
      <c r="E32" s="31" t="s">
        <v>48</v>
      </c>
      <c r="F32" s="33" t="n">
        <v>2.4</v>
      </c>
      <c r="G32" s="30" t="s">
        <v>46</v>
      </c>
    </row>
    <row r="33" customFormat="false" ht="15" hidden="false" customHeight="false" outlineLevel="0" collapsed="false">
      <c r="A33" s="34" t="n">
        <v>26</v>
      </c>
      <c r="B33" s="35" t="s">
        <v>149</v>
      </c>
      <c r="C33" s="36" t="n">
        <v>22248.99</v>
      </c>
      <c r="D33" s="35" t="s">
        <v>150</v>
      </c>
      <c r="E33" s="35" t="s">
        <v>48</v>
      </c>
      <c r="F33" s="37" t="n">
        <v>2</v>
      </c>
      <c r="G33" s="34" t="s">
        <v>46</v>
      </c>
    </row>
    <row r="34" customFormat="false" ht="15" hidden="false" customHeight="false" outlineLevel="0" collapsed="false">
      <c r="A34" s="30" t="n">
        <v>27</v>
      </c>
      <c r="B34" s="31" t="s">
        <v>154</v>
      </c>
      <c r="C34" s="32" t="n">
        <v>20766.56</v>
      </c>
      <c r="D34" s="31" t="s">
        <v>155</v>
      </c>
      <c r="E34" s="31" t="s">
        <v>48</v>
      </c>
      <c r="F34" s="33" t="n">
        <v>3</v>
      </c>
      <c r="G34" s="30" t="s">
        <v>46</v>
      </c>
    </row>
    <row r="35" customFormat="false" ht="15" hidden="false" customHeight="false" outlineLevel="0" collapsed="false">
      <c r="A35" s="34" t="n">
        <v>28</v>
      </c>
      <c r="B35" s="35" t="s">
        <v>157</v>
      </c>
      <c r="C35" s="36" t="n">
        <v>20658.58</v>
      </c>
      <c r="D35" s="35" t="s">
        <v>158</v>
      </c>
      <c r="E35" s="35" t="s">
        <v>48</v>
      </c>
      <c r="F35" s="37" t="n">
        <v>2.4</v>
      </c>
      <c r="G35" s="34" t="s">
        <v>46</v>
      </c>
    </row>
    <row r="36" customFormat="false" ht="15" hidden="false" customHeight="false" outlineLevel="0" collapsed="false">
      <c r="A36" s="30" t="n">
        <v>29</v>
      </c>
      <c r="B36" s="31" t="s">
        <v>159</v>
      </c>
      <c r="C36" s="32" t="n">
        <v>19893.67</v>
      </c>
      <c r="D36" s="31" t="s">
        <v>160</v>
      </c>
      <c r="E36" s="31" t="s">
        <v>48</v>
      </c>
      <c r="F36" s="33" t="n">
        <v>3.6</v>
      </c>
      <c r="G36" s="30" t="s">
        <v>46</v>
      </c>
    </row>
    <row r="37" customFormat="false" ht="15" hidden="false" customHeight="false" outlineLevel="0" collapsed="false">
      <c r="A37" s="34" t="n">
        <v>30</v>
      </c>
      <c r="B37" s="35" t="s">
        <v>161</v>
      </c>
      <c r="C37" s="36" t="n">
        <v>19697.28</v>
      </c>
      <c r="D37" s="35" t="s">
        <v>162</v>
      </c>
      <c r="E37" s="35" t="s">
        <v>48</v>
      </c>
      <c r="F37" s="37" t="n">
        <v>1</v>
      </c>
      <c r="G37" s="34" t="s">
        <v>46</v>
      </c>
    </row>
    <row r="38" customFormat="false" ht="15" hidden="false" customHeight="false" outlineLevel="0" collapsed="false">
      <c r="A38" s="45"/>
      <c r="B38" s="46" t="s">
        <v>296</v>
      </c>
      <c r="C38" s="47" t="n">
        <f aca="false">SUM(C8:C37)</f>
        <v>1146115.49</v>
      </c>
      <c r="D38" s="45"/>
      <c r="E38" s="45"/>
      <c r="F38" s="45"/>
      <c r="G38" s="45"/>
    </row>
    <row r="41" customFormat="false" ht="3" hidden="false" customHeight="true" outlineLevel="0" collapsed="false">
      <c r="A41" s="14"/>
      <c r="B41" s="14"/>
      <c r="C41" s="14"/>
      <c r="D41" s="14"/>
      <c r="E41" s="14"/>
      <c r="F41" s="14"/>
      <c r="G41" s="14"/>
    </row>
    <row r="42" customFormat="false" ht="15" hidden="false" customHeight="true" outlineLevel="0" collapsed="false">
      <c r="A42" s="15" t="s">
        <v>29</v>
      </c>
      <c r="B42" s="15"/>
      <c r="C42" s="15"/>
      <c r="D42" s="15"/>
      <c r="E42" s="15"/>
      <c r="F42" s="15"/>
      <c r="G42" s="15"/>
    </row>
    <row r="43" customFormat="false" ht="15" hidden="false" customHeight="false" outlineLevel="0" collapsed="false">
      <c r="A43" s="15"/>
      <c r="B43" s="15"/>
      <c r="C43" s="15"/>
      <c r="D43" s="15"/>
      <c r="E43" s="15"/>
      <c r="F43" s="15"/>
      <c r="G43" s="15"/>
    </row>
    <row r="44" customFormat="false" ht="15" hidden="false" customHeight="false" outlineLevel="0" collapsed="false">
      <c r="A44" s="16" t="s">
        <v>30</v>
      </c>
      <c r="B44" s="16"/>
      <c r="C44" s="16"/>
      <c r="D44" s="16"/>
      <c r="E44" s="16"/>
      <c r="F44" s="16"/>
      <c r="G44" s="16"/>
    </row>
  </sheetData>
  <mergeCells count="6">
    <mergeCell ref="A1:G1"/>
    <mergeCell ref="A3:G3"/>
    <mergeCell ref="A4:G5"/>
    <mergeCell ref="A41:G41"/>
    <mergeCell ref="A42:G43"/>
    <mergeCell ref="A44:G44"/>
  </mergeCells>
  <printOptions headings="false" gridLines="false" gridLinesSet="true" horizontalCentered="fals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&amp;L&amp;8 &amp;K8c7440BIC REA LLC&amp;R&amp;8 &amp;K8c7440Tax Delinquency Watchlist · 9 Sep 2026</oddHeader>
    <oddFooter>&amp;L&amp;8 &amp;K6b6b6bConfidential — internal working document&amp;R&amp;8 &amp;K6b6b6bPage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Company>BIC REA LLC</Company>
  <Manager>BIC REA LLC</Manager>
  <SharedDoc>false</SharedDoc>
  <HyperlinksChanged>false</HyperlinksChanged>
  <LinksUpToDate>false</LinksUpToDate>
  <TotalTime>0</TotalTim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Confidential — internal working document</cp:category>
  <dcterms:created xsi:type="dcterms:W3CDTF">2026-09-10T06:37:12Z</dcterms:created>
  <dc:creator>BIC REA LLC</dc:creator>
  <dc:description>BIC REA is a Florida-based real estate services firm. This watchlist is a non-legal analysis of public records and is not a title opinion, a title insurance policy, or legal advice. Where a title opinion is required, opinions are coordinated through independent licensed counsel, confirmed per state at engagement.</dc:description>
  <cp:keywords>BICREA Sarasota tax delinquency lead engine watchlist</cp:keywords>
  <dc:language>en-US</dc:language>
  <cp:lastModifiedBy>BIC REA LLC</cp:lastModifiedBy>
  <dcterms:modified xsi:type="dcterms:W3CDTF">2026-09-10T06:37:12Z</dcterms:modified>
  <cp:revision>0</cp:revision>
  <dc:subject>100 KEEP parcels ranked by dollars owed</dc:subject>
  <dc:title>Sarasota County Tax Delinquency Watchlist</dc:title>
</cp:coreProperties>
</file>

<file path=docProps/custom.xml><?xml version="1.0" encoding="utf-8"?>
<Properties xmlns="http://schemas.openxmlformats.org/officeDocument/2006/custom-properties" xmlns:vt="http://schemas.openxmlformats.org/officeDocument/2006/docPropsVTypes"/>
</file>